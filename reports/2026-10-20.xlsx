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.linkedin.com/jobs/view/business-development-representative-%E2%80%93-enterprise-at-mind-detect-4478236410" TargetMode="External" Id="rId1" /><Relationship Type="http://schemas.openxmlformats.org/officeDocument/2006/relationships/hyperlink" Target="https://sg.linkedin.com/jobs/view/business-development-representative-%E2%80%93-enterprise-at-mind-detect-4478236410" TargetMode="External" Id="rId2" /><Relationship Type="http://schemas.openxmlformats.org/officeDocument/2006/relationships/hyperlink" Target="https://www.mycareersfuture.gov.sg/job/customer-service/urgent-outbound-sales-specialist-entry-level-welcomed-sproutz-marketing-62d13994f73e3d8442e4d5644f318c47" TargetMode="External" Id="rId3" /><Relationship Type="http://schemas.openxmlformats.org/officeDocument/2006/relationships/hyperlink" Target="https://www.mycareersfuture.gov.sg/job/customer-service/urgent-outbound-sales-specialist-entry-level-welcomed-sproutz-marketing-62d13994f73e3d8442e4d5644f318c47" TargetMode="External" Id="rId4" /><Relationship Type="http://schemas.openxmlformats.org/officeDocument/2006/relationships/hyperlink" Target="https://sg.jobstreet.com/job/95241800" TargetMode="External" Id="rId5" /><Relationship Type="http://schemas.openxmlformats.org/officeDocument/2006/relationships/hyperlink" Target="https://sg.jobstreet.com/job/95241800" TargetMode="External" Id="rId6" /><Relationship Type="http://schemas.openxmlformats.org/officeDocument/2006/relationships/hyperlink" Target="https://www.mycareersfuture.gov.sg/job/others/inside-sales-10116-anradus-fb0c3aaec411fc3b99fbb8b4f2b90993" TargetMode="External" Id="rId7" /><Relationship Type="http://schemas.openxmlformats.org/officeDocument/2006/relationships/hyperlink" Target="https://www.mycareersfuture.gov.sg/job/others/inside-sales-10116-anradus-fb0c3aaec411fc3b99fbb8b4f2b90993" TargetMode="External" Id="rId8" /><Relationship Type="http://schemas.openxmlformats.org/officeDocument/2006/relationships/hyperlink" Target="https://sg.linkedin.com/jobs/view/business-development-representative-at-info-tech-research-group-4470936067" TargetMode="External" Id="rId9" /><Relationship Type="http://schemas.openxmlformats.org/officeDocument/2006/relationships/hyperlink" Target="https://sg.linkedin.com/jobs/view/business-development-representative-at-info-tech-research-group-4470936067" TargetMode="External" Id="rId10" /><Relationship Type="http://schemas.openxmlformats.org/officeDocument/2006/relationships/hyperlink" Target="https://sg.linkedin.com/jobs/view/business-development-representative-at-outsystems-4469877528" TargetMode="External" Id="rId11" /><Relationship Type="http://schemas.openxmlformats.org/officeDocument/2006/relationships/hyperlink" Target="https://sg.linkedin.com/jobs/view/business-development-representative-at-outsystems-4469877528" TargetMode="External" Id="rId12" /><Relationship Type="http://schemas.openxmlformats.org/officeDocument/2006/relationships/hyperlink" Target="https://www.mycareersfuture.gov.sg/job/customer-service/customer-service-representative-one-seven-consulting-d7ce18417241b5ce3c1bf63dc6bc3e47" TargetMode="External" Id="rId13" /><Relationship Type="http://schemas.openxmlformats.org/officeDocument/2006/relationships/hyperlink" Target="https://www.mycareersfuture.gov.sg/job/customer-service/customer-service-representative-one-seven-consulting-d7ce18417241b5ce3c1bf63dc6bc3e47" TargetMode="External" Id="rId14" /><Relationship Type="http://schemas.openxmlformats.org/officeDocument/2006/relationships/hyperlink" Target="https://www.mycareersfuture.gov.sg/job/customer-service/entry-level-business-development-associate-atrix-marketing-solutions-61d25fe4d7a97686c61747b6429ed40e" TargetMode="External" Id="rId15" /><Relationship Type="http://schemas.openxmlformats.org/officeDocument/2006/relationships/hyperlink" Target="https://www.mycareersfuture.gov.sg/job/customer-service/entry-level-business-development-associate-atrix-marketing-solutions-61d25fe4d7a97686c61747b6429ed40e" TargetMode="External" Id="rId16" /><Relationship Type="http://schemas.openxmlformats.org/officeDocument/2006/relationships/hyperlink" Target="https://www.mycareersfuture.gov.sg/job/sales/inside-sales-executive-recruit-expert-8ed967adb3daf96ba90dd2c7a388acd5" TargetMode="External" Id="rId17" /><Relationship Type="http://schemas.openxmlformats.org/officeDocument/2006/relationships/hyperlink" Target="https://www.mycareersfuture.gov.sg/job/sales/inside-sales-executive-recruit-expert-8ed967adb3daf96ba90dd2c7a388acd5" TargetMode="External" Id="rId18" /><Relationship Type="http://schemas.openxmlformats.org/officeDocument/2006/relationships/hyperlink" Target="https://www.mycareersfuture.gov.sg/job/events/business-development-associate-simple-recruit-6636cb6df5a78a72590a21b47f607fad" TargetMode="External" Id="rId19" /><Relationship Type="http://schemas.openxmlformats.org/officeDocument/2006/relationships/hyperlink" Target="https://www.mycareersfuture.gov.sg/job/events/business-development-associate-simple-recruit-6636cb6df5a78a72590a21b47f607fad" TargetMode="External" Id="rId20" /><Relationship Type="http://schemas.openxmlformats.org/officeDocument/2006/relationships/hyperlink" Target="https://www.mycareersfuture.gov.sg/job/admin/inside-sales-executive-focal-search-1ca46ebbb42d025115a10381830c12f1" TargetMode="External" Id="rId21" /><Relationship Type="http://schemas.openxmlformats.org/officeDocument/2006/relationships/hyperlink" Target="https://www.mycareersfuture.gov.sg/job/admin/inside-sales-executive-focal-search-1ca46ebbb42d025115a10381830c12f1" TargetMode="External" Id="rId22" /><Relationship Type="http://schemas.openxmlformats.org/officeDocument/2006/relationships/hyperlink" Target="https://www.mycareersfuture.gov.sg/job/customer-service/business-development-associate-royal-org-af0903f483dfa0fb16ca2db3c35a3530" TargetMode="External" Id="rId23" /><Relationship Type="http://schemas.openxmlformats.org/officeDocument/2006/relationships/hyperlink" Target="https://www.mycareersfuture.gov.sg/job/customer-service/business-development-associate-royal-org-af0903f483dfa0fb16ca2db3c35a3530" TargetMode="External" Id="rId24" /><Relationship Type="http://schemas.openxmlformats.org/officeDocument/2006/relationships/hyperlink" Target="https://www.mycareersfuture.gov.sg/job/events/sales-development-associate-royal-org-ef7df2ffa0e64aa5038e32cafb091385" TargetMode="External" Id="rId25" /><Relationship Type="http://schemas.openxmlformats.org/officeDocument/2006/relationships/hyperlink" Target="https://www.mycareersfuture.gov.sg/job/events/sales-development-associate-royal-org-ef7df2ffa0e64aa5038e32cafb091385" TargetMode="External" Id="rId26" /><Relationship Type="http://schemas.openxmlformats.org/officeDocument/2006/relationships/hyperlink" Target="https://www.mycareersfuture.gov.sg/job/marketing/sales-development-representative-safvr-technologies-4ae5f2c8faf2985968f824bcdc54daec" TargetMode="External" Id="rId27" /><Relationship Type="http://schemas.openxmlformats.org/officeDocument/2006/relationships/hyperlink" Target="https://www.mycareersfuture.gov.sg/job/marketing/sales-development-representative-safvr-technologies-4ae5f2c8faf2985968f824bcdc54daec" TargetMode="External" Id="rId28" /><Relationship Type="http://schemas.openxmlformats.org/officeDocument/2006/relationships/hyperlink" Target="https://sg.jobstreet.com/job/95368393" TargetMode="External" Id="rId29" /><Relationship Type="http://schemas.openxmlformats.org/officeDocument/2006/relationships/hyperlink" Target="https://sg.jobstreet.com/job/95368393" TargetMode="External" Id="rId30" /><Relationship Type="http://schemas.openxmlformats.org/officeDocument/2006/relationships/hyperlink" Target="https://sg.jobstreet.com/job/95362249" TargetMode="External" Id="rId31" /><Relationship Type="http://schemas.openxmlformats.org/officeDocument/2006/relationships/hyperlink" Target="https://sg.jobstreet.com/job/95362249" TargetMode="External" Id="rId32" /><Relationship Type="http://schemas.openxmlformats.org/officeDocument/2006/relationships/hyperlink" Target="https://sg.linkedin.com/jobs/view/inside-sales-account-representative-jmp-at-jmp-4480917988" TargetMode="External" Id="rId33" /><Relationship Type="http://schemas.openxmlformats.org/officeDocument/2006/relationships/hyperlink" Target="https://sg.linkedin.com/jobs/view/inside-sales-account-representative-jmp-at-jmp-4480917988" TargetMode="External" Id="rId34" /><Relationship Type="http://schemas.openxmlformats.org/officeDocument/2006/relationships/hyperlink" Target="https://sg.linkedin.com/jobs/view/sales-development-representative-bilingual-at-crimson-education-4471338352" TargetMode="External" Id="rId35" /><Relationship Type="http://schemas.openxmlformats.org/officeDocument/2006/relationships/hyperlink" Target="https://sg.linkedin.com/jobs/view/sales-development-representative-bilingual-at-crimson-education-4471338352" TargetMode="External" Id="rId36" /><Relationship Type="http://schemas.openxmlformats.org/officeDocument/2006/relationships/hyperlink" Target="https://sg.linkedin.com/jobs/view/sales-development-representative-singapore-public-sector-at-elastic-4459183254" TargetMode="External" Id="rId37" /><Relationship Type="http://schemas.openxmlformats.org/officeDocument/2006/relationships/hyperlink" Target="https://sg.linkedin.com/jobs/view/sales-development-representative-singapore-public-sector-at-elastic-4459183254" TargetMode="External" Id="rId38" /><Relationship Type="http://schemas.openxmlformats.org/officeDocument/2006/relationships/hyperlink" Target="https://sg.linkedin.com/jobs/view/business-development-representative-at-walkme-4461435881" TargetMode="External" Id="rId39" /><Relationship Type="http://schemas.openxmlformats.org/officeDocument/2006/relationships/hyperlink" Target="https://sg.linkedin.com/jobs/view/business-development-representative-at-walkme-4461435881" TargetMode="External" Id="rId40" /><Relationship Type="http://schemas.openxmlformats.org/officeDocument/2006/relationships/hyperlink" Target="https://sg.linkedin.com/jobs/view/sales-development-representative-apac-at-hazelcast-4461985730" TargetMode="External" Id="rId41" /><Relationship Type="http://schemas.openxmlformats.org/officeDocument/2006/relationships/hyperlink" Target="https://sg.linkedin.com/jobs/view/sales-development-representative-apac-at-hazelcast-4461985730" TargetMode="External" Id="rId42" /><Relationship Type="http://schemas.openxmlformats.org/officeDocument/2006/relationships/hyperlink" Target="https://sg.linkedin.com/jobs/view/sales-development-representative-at-alphasense-4454504678" TargetMode="External" Id="rId43" /><Relationship Type="http://schemas.openxmlformats.org/officeDocument/2006/relationships/hyperlink" Target="https://sg.linkedin.com/jobs/view/sales-development-representative-at-alphasense-4454504678" TargetMode="External" Id="rId44" /><Relationship Type="http://schemas.openxmlformats.org/officeDocument/2006/relationships/hyperlink" Target="https://sg.linkedin.com/jobs/view/business-development-representative-thailand-at-workday-4423105328" TargetMode="External" Id="rId45" /><Relationship Type="http://schemas.openxmlformats.org/officeDocument/2006/relationships/hyperlink" Target="https://sg.linkedin.com/jobs/view/business-development-representative-thailand-at-workday-4423105328" TargetMode="External" Id="rId46" /><Relationship Type="http://schemas.openxmlformats.org/officeDocument/2006/relationships/hyperlink" Target="https://sg.linkedin.com/jobs/view/sales-development-representative-at-concentrix-4471182815" TargetMode="External" Id="rId47" /><Relationship Type="http://schemas.openxmlformats.org/officeDocument/2006/relationships/hyperlink" Target="https://sg.linkedin.com/jobs/view/sales-development-representative-at-concentrix-4471182815" TargetMode="External" Id="rId48" /><Relationship Type="http://schemas.openxmlformats.org/officeDocument/2006/relationships/hyperlink" Target="https://sg.linkedin.com/jobs/view/sales-development-representative-japanese-or-korean-speaking-at-solace-4466357912" TargetMode="External" Id="rId49" /><Relationship Type="http://schemas.openxmlformats.org/officeDocument/2006/relationships/hyperlink" Target="https://sg.linkedin.com/jobs/view/sales-development-representative-japanese-or-korean-speaking-at-solace-4466357912" TargetMode="External" Id="rId50" /><Relationship Type="http://schemas.openxmlformats.org/officeDocument/2006/relationships/hyperlink" Target="https://sg.jobstreet.com/job/95294929" TargetMode="External" Id="rId51" /><Relationship Type="http://schemas.openxmlformats.org/officeDocument/2006/relationships/hyperlink" Target="https://sg.jobstreet.com/job/95294929" TargetMode="External" Id="rId52" /><Relationship Type="http://schemas.openxmlformats.org/officeDocument/2006/relationships/hyperlink" Target="https://sg.linkedin.com/jobs/view/business-development-representative-at-smartsheet-4459900706" TargetMode="External" Id="rId53" /><Relationship Type="http://schemas.openxmlformats.org/officeDocument/2006/relationships/hyperlink" Target="https://sg.linkedin.com/jobs/view/business-development-representative-at-smartsheet-4459900706" TargetMode="External" Id="rId54" /><Relationship Type="http://schemas.openxmlformats.org/officeDocument/2006/relationships/hyperlink" Target="https://sg.linkedin.com/jobs/view/business-development-representative-26403-at-enverus-4479137241" TargetMode="External" Id="rId55" /><Relationship Type="http://schemas.openxmlformats.org/officeDocument/2006/relationships/hyperlink" Target="https://sg.linkedin.com/jobs/view/business-development-representative-26403-at-enverus-4479137241" TargetMode="External" Id="rId56" /><Relationship Type="http://schemas.openxmlformats.org/officeDocument/2006/relationships/hyperlink" Target="https://sg.linkedin.com/jobs/view/sales-development-representative-at-corning-incorporated-4477080468" TargetMode="External" Id="rId57" /><Relationship Type="http://schemas.openxmlformats.org/officeDocument/2006/relationships/hyperlink" Target="https://sg.linkedin.com/jobs/view/sales-development-representative-at-corning-incorporated-4477080468" TargetMode="External" Id="rId58" /><Relationship Type="http://schemas.openxmlformats.org/officeDocument/2006/relationships/hyperlink" Target="https://sg.linkedin.com/jobs/view/sales-development-representative-%E2%80%93-financial-at-kpler-4477094124" TargetMode="External" Id="rId59" /><Relationship Type="http://schemas.openxmlformats.org/officeDocument/2006/relationships/hyperlink" Target="https://sg.linkedin.com/jobs/view/sales-development-representative-%E2%80%93-financial-at-kpler-4477094124" TargetMode="External" Id="rId60" /><Relationship Type="http://schemas.openxmlformats.org/officeDocument/2006/relationships/hyperlink" Target="https://sg.linkedin.com/jobs/view/sales-development-specialist-at-concentrix-4479801812" TargetMode="External" Id="rId61" /><Relationship Type="http://schemas.openxmlformats.org/officeDocument/2006/relationships/hyperlink" Target="https://sg.linkedin.com/jobs/view/sales-development-specialist-at-concentrix-4479801812" TargetMode="External" Id="rId62" /><Relationship Type="http://schemas.openxmlformats.org/officeDocument/2006/relationships/hyperlink" Target="https://sg.linkedin.com/jobs/view/account-development-representative-at-coursera-4478421200" TargetMode="External" Id="rId63" /><Relationship Type="http://schemas.openxmlformats.org/officeDocument/2006/relationships/hyperlink" Target="https://sg.linkedin.com/jobs/view/account-development-representative-at-coursera-4478421200" TargetMode="External" Id="rId64" /><Relationship Type="http://schemas.openxmlformats.org/officeDocument/2006/relationships/hyperlink" Target="https://sg.linkedin.com/jobs/view/business-development-representative-event-solutions-japanese-speaker-at-cvent-4478480403" TargetMode="External" Id="rId65" /><Relationship Type="http://schemas.openxmlformats.org/officeDocument/2006/relationships/hyperlink" Target="https://sg.linkedin.com/jobs/view/business-development-representative-event-solutions-japanese-speaker-at-cvent-4478480403" TargetMode="External" Id="rId66" /><Relationship Type="http://schemas.openxmlformats.org/officeDocument/2006/relationships/hyperlink" Target="https://sg.linkedin.com/jobs/view/inside-sales-representative-at-nov-4469305395" TargetMode="External" Id="rId67" /><Relationship Type="http://schemas.openxmlformats.org/officeDocument/2006/relationships/hyperlink" Target="https://sg.linkedin.com/jobs/view/inside-sales-representative-at-nov-4469305395" TargetMode="External" Id="rId68" /><Relationship Type="http://schemas.openxmlformats.org/officeDocument/2006/relationships/hyperlink" Target="https://sg.jobstreet.com/job/95242718" TargetMode="External" Id="rId69" /><Relationship Type="http://schemas.openxmlformats.org/officeDocument/2006/relationships/hyperlink" Target="https://sg.jobstreet.com/job/95242718" TargetMode="External" Id="rId70" /><Relationship Type="http://schemas.openxmlformats.org/officeDocument/2006/relationships/hyperlink" Target="https://sg.linkedin.com/jobs/view/business-development-representative-malaysia-market-at-salesforce-4478770307" TargetMode="External" Id="rId71" /><Relationship Type="http://schemas.openxmlformats.org/officeDocument/2006/relationships/hyperlink" Target="https://sg.linkedin.com/jobs/view/business-development-representative-malaysia-market-at-salesforce-4478770307" TargetMode="External" Id="rId72" /><Relationship Type="http://schemas.openxmlformats.org/officeDocument/2006/relationships/hyperlink" Target="https://sg.linkedin.com/jobs/view/business-development-representative-public-sector-indonesia-market-at-salesforce-4414688611" TargetMode="External" Id="rId73" /><Relationship Type="http://schemas.openxmlformats.org/officeDocument/2006/relationships/hyperlink" Target="https://sg.linkedin.com/jobs/view/business-development-representative-public-sector-indonesia-market-at-salesforce-4414688611" TargetMode="External" Id="rId74" /><Relationship Type="http://schemas.openxmlformats.org/officeDocument/2006/relationships/hyperlink" Target="https://sg.jobstreet.com/job/95231589" TargetMode="External" Id="rId75" /><Relationship Type="http://schemas.openxmlformats.org/officeDocument/2006/relationships/hyperlink" Target="https://sg.jobstreet.com/job/95231589" TargetMode="External" Id="rId76" /><Relationship Type="http://schemas.openxmlformats.org/officeDocument/2006/relationships/hyperlink" Target="https://sg.linkedin.com/jobs/view/sales-development-representative-business-development-representative-inside-sales-executive-at-ayno-learn-educational-academy-4477035904" TargetMode="External" Id="rId77" /><Relationship Type="http://schemas.openxmlformats.org/officeDocument/2006/relationships/hyperlink" Target="https://sg.linkedin.com/jobs/view/sales-development-representative-business-development-representative-inside-sales-executive-at-ayno-learn-educational-academy-4477035904" TargetMode="External" Id="rId78" /><Relationship Type="http://schemas.openxmlformats.org/officeDocument/2006/relationships/hyperlink" Target="https://sg.linkedin.com/jobs/view/sales-development-representative-at-rise-by-bcg-u-4479296253" TargetMode="External" Id="rId79" /><Relationship Type="http://schemas.openxmlformats.org/officeDocument/2006/relationships/hyperlink" Target="https://sg.linkedin.com/jobs/view/sales-development-representative-at-rise-by-bcg-u-4479296253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10 of 12</t>
        </is>
      </c>
      <c r="C2" s="4" t="n">
        <v>0.8</v>
      </c>
      <c r="D2" s="3" t="n"/>
      <c r="E2" s="5" t="inlineStr">
        <is>
          <t>Business Development Representative – Enterprise</t>
        </is>
      </c>
      <c r="F2" s="3" t="inlineStr">
        <is>
          <t>Mind Detect</t>
        </is>
      </c>
      <c r="G2" s="6" t="n"/>
      <c r="H2" s="6" t="n"/>
      <c r="I2" s="3" t="inlineStr">
        <is>
          <t>not stated</t>
        </is>
      </c>
      <c r="J2" s="3" t="inlineStr">
        <is>
          <t>executive</t>
        </is>
      </c>
      <c r="K2" s="3" t="inlineStr">
        <is>
          <t>hybrid</t>
        </is>
      </c>
      <c r="L2" s="3" t="inlineStr">
        <is>
          <t>Full-time</t>
        </is>
      </c>
      <c r="M2" s="3" t="inlineStr">
        <is>
          <t>LinkedIn</t>
        </is>
      </c>
      <c r="N2" s="7" t="n">
        <v>46313</v>
      </c>
      <c r="O2" s="8" t="inlineStr">
        <is>
          <t>Base salary can reach SGD 4,000 / month, Commission / incentives on top of base</t>
        </is>
      </c>
      <c r="P2" s="8" t="inlineStr"/>
      <c r="Q2" s="9" t="inlineStr">
        <is>
          <t>https://sg.linkedin.com/jobs/view/business-development-representative-%E2%80%93-enterprise-at-mind-detect-4478236410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URGENT Outbound Sales Specialist [Entry Level Welcomed]</t>
        </is>
      </c>
      <c r="F3" s="3" t="inlineStr">
        <is>
          <t>SPROUTZ MARKETING</t>
        </is>
      </c>
      <c r="G3" s="6" t="n">
        <v>3800</v>
      </c>
      <c r="H3" s="6" t="n">
        <v>4500</v>
      </c>
      <c r="I3" s="3" t="inlineStr">
        <is>
          <t>SGD 3,800-4,500/mo</t>
        </is>
      </c>
      <c r="J3" s="3" t="inlineStr">
        <is>
          <t>junior executive</t>
        </is>
      </c>
      <c r="K3" s="3" t="inlineStr"/>
      <c r="L3" s="3" t="inlineStr">
        <is>
          <t>Permanent, Full Time, Internship/Attachment</t>
        </is>
      </c>
      <c r="M3" s="3" t="inlineStr">
        <is>
          <t>MyCareersFuture</t>
        </is>
      </c>
      <c r="N3" s="7" t="n">
        <v>46311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https://www.mycareersfuture.gov.sg/job/customer-service/urgent-outbound-sales-specialist-entry-level-welcomed-sproutz-marketing-62d13994f73e3d8442e4d5644f318c47</t>
        </is>
      </c>
      <c r="R3" s="3" t="inlineStr">
        <is>
          <t>To review</t>
        </is>
      </c>
      <c r="S3" s="8" t="inlineStr"/>
    </row>
    <row r="4">
      <c r="A4" s="2" t="inlineStr">
        <is>
          <t>A</t>
        </is>
      </c>
      <c r="B4" s="3" t="inlineStr">
        <is>
          <t>10 of 12</t>
        </is>
      </c>
      <c r="C4" s="4" t="n">
        <v>0.8</v>
      </c>
      <c r="D4" s="3" t="n"/>
      <c r="E4" s="5" t="inlineStr">
        <is>
          <t>Sales Development Representative</t>
        </is>
      </c>
      <c r="F4" s="3" t="inlineStr">
        <is>
          <t>Asiaverify</t>
        </is>
      </c>
      <c r="G4" s="6" t="n"/>
      <c r="H4" s="6" t="n"/>
      <c r="I4" s="3" t="inlineStr">
        <is>
          <t>not stated</t>
        </is>
      </c>
      <c r="J4" s="3" t="inlineStr">
        <is>
          <t>executive</t>
        </is>
      </c>
      <c r="K4" s="3" t="inlineStr">
        <is>
          <t>on-site</t>
        </is>
      </c>
      <c r="L4" s="3" t="inlineStr">
        <is>
          <t>Full time</t>
        </is>
      </c>
      <c r="M4" s="3" t="inlineStr">
        <is>
          <t>JobStreet</t>
        </is>
      </c>
      <c r="N4" s="7" t="n">
        <v>46308</v>
      </c>
      <c r="O4" s="8" t="inlineStr">
        <is>
          <t>Base salary can reach SGD 4,000 / month, Commission / incentives on top of base</t>
        </is>
      </c>
      <c r="P4" s="8" t="inlineStr"/>
      <c r="Q4" s="9" t="inlineStr">
        <is>
          <t>https://sg.jobstreet.com/job/95241800</t>
        </is>
      </c>
      <c r="R4" s="3" t="inlineStr">
        <is>
          <t>To review</t>
        </is>
      </c>
      <c r="S4" s="8" t="inlineStr"/>
    </row>
    <row r="5">
      <c r="A5" s="2" t="inlineStr">
        <is>
          <t>A</t>
        </is>
      </c>
      <c r="B5" s="3" t="inlineStr">
        <is>
          <t>11 of 12</t>
        </is>
      </c>
      <c r="C5" s="4" t="n">
        <v>0.8</v>
      </c>
      <c r="D5" s="3" t="n"/>
      <c r="E5" s="5" t="inlineStr">
        <is>
          <t>Inside Sales #10116</t>
        </is>
      </c>
      <c r="F5" s="3" t="inlineStr">
        <is>
          <t>ANRADUS PTE. LTD.</t>
        </is>
      </c>
      <c r="G5" s="6" t="n">
        <v>2100</v>
      </c>
      <c r="H5" s="6" t="n">
        <v>4000</v>
      </c>
      <c r="I5" s="3" t="inlineStr">
        <is>
          <t>SGD 2,100-4,000/mo</t>
        </is>
      </c>
      <c r="J5" s="3" t="inlineStr">
        <is>
          <t>fresh</t>
        </is>
      </c>
      <c r="K5" s="3" t="inlineStr"/>
      <c r="L5" s="3" t="inlineStr">
        <is>
          <t>Permanent, Full Time</t>
        </is>
      </c>
      <c r="M5" s="3" t="inlineStr">
        <is>
          <t>MyCareersFuture</t>
        </is>
      </c>
      <c r="N5" s="7" t="n">
        <v>46308</v>
      </c>
      <c r="O5" s="8" t="inlineStr">
        <is>
          <t>Fintech / payments / SME / merchant domain</t>
        </is>
      </c>
      <c r="P5" s="8" t="inlineStr"/>
      <c r="Q5" s="9" t="inlineStr">
        <is>
          <t>https://www.mycareersfuture.gov.sg/job/others/inside-sales-10116-anradus-fb0c3aaec411fc3b99fbb8b4f2b90993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0.733</v>
      </c>
      <c r="D6" s="3" t="n"/>
      <c r="E6" s="5" t="inlineStr">
        <is>
          <t>Business Development Representative</t>
        </is>
      </c>
      <c r="F6" s="3" t="inlineStr">
        <is>
          <t>Info-Tech Research Group</t>
        </is>
      </c>
      <c r="G6" s="6" t="n"/>
      <c r="H6" s="6" t="n"/>
      <c r="I6" s="3" t="inlineStr">
        <is>
          <t>not stated</t>
        </is>
      </c>
      <c r="J6" s="3" t="inlineStr">
        <is>
          <t>executive</t>
        </is>
      </c>
      <c r="K6" s="3" t="inlineStr">
        <is>
          <t>on-site</t>
        </is>
      </c>
      <c r="L6" s="3" t="inlineStr">
        <is>
          <t>Full-time</t>
        </is>
      </c>
      <c r="M6" s="3" t="inlineStr">
        <is>
          <t>LinkedIn</t>
        </is>
      </c>
      <c r="N6" s="7" t="n">
        <v>46309</v>
      </c>
      <c r="O6" s="8" t="inlineStr">
        <is>
          <t>Fintech / payments / SME / merchant domain, Base salary can reach SGD 4,000 / month</t>
        </is>
      </c>
      <c r="P6" s="8" t="inlineStr"/>
      <c r="Q6" s="9" t="inlineStr">
        <is>
          <t>https://sg.linkedin.com/jobs/view/business-development-representative-at-info-tech-research-group-4470936067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0.733</v>
      </c>
      <c r="D7" s="3" t="n"/>
      <c r="E7" s="5" t="inlineStr">
        <is>
          <t>Business Development Representative</t>
        </is>
      </c>
      <c r="F7" s="3" t="inlineStr">
        <is>
          <t>OutSystems</t>
        </is>
      </c>
      <c r="G7" s="6" t="n"/>
      <c r="H7" s="6" t="n"/>
      <c r="I7" s="3" t="inlineStr">
        <is>
          <t>not stated</t>
        </is>
      </c>
      <c r="J7" s="3" t="inlineStr">
        <is>
          <t>executive</t>
        </is>
      </c>
      <c r="K7" s="3" t="inlineStr">
        <is>
          <t>hybrid</t>
        </is>
      </c>
      <c r="L7" s="3" t="inlineStr">
        <is>
          <t>Full-time</t>
        </is>
      </c>
      <c r="M7" s="3" t="inlineStr">
        <is>
          <t>LinkedIn</t>
        </is>
      </c>
      <c r="N7" s="7" t="n">
        <v>46308</v>
      </c>
      <c r="O7" s="8" t="inlineStr">
        <is>
          <t>Fintech / payments / SME / merchant domain, Base salary can reach SGD 4,000 / month</t>
        </is>
      </c>
      <c r="P7" s="8" t="inlineStr"/>
      <c r="Q7" s="9" t="inlineStr">
        <is>
          <t>https://sg.linkedin.com/jobs/view/business-development-representative-at-outsystems-4469877528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Customer Service Representative (Inside Sales)</t>
        </is>
      </c>
      <c r="F8" s="3" t="inlineStr">
        <is>
          <t>ONE SEVEN CONSULTING PTE. LTD.</t>
        </is>
      </c>
      <c r="G8" s="6" t="n">
        <v>5000</v>
      </c>
      <c r="H8" s="6" t="n">
        <v>6000</v>
      </c>
      <c r="I8" s="3" t="inlineStr">
        <is>
          <t>SGD 5,000-6,000/mo</t>
        </is>
      </c>
      <c r="J8" s="3" t="inlineStr">
        <is>
          <t>executive</t>
        </is>
      </c>
      <c r="K8" s="3" t="inlineStr"/>
      <c r="L8" s="3" t="inlineStr">
        <is>
          <t>Permanent</t>
        </is>
      </c>
      <c r="M8" s="3" t="inlineStr">
        <is>
          <t>MyCareersFuture</t>
        </is>
      </c>
      <c r="N8" s="7" t="n">
        <v>46315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https://www.mycareersfuture.gov.sg/job/customer-service/customer-service-representative-one-seven-consulting-d7ce18417241b5ce3c1bf63dc6bc3e47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Entry-Level Business Development Associate</t>
        </is>
      </c>
      <c r="F9" s="3" t="inlineStr">
        <is>
          <t>ATRIX MARKETING SOLUTIONS</t>
        </is>
      </c>
      <c r="G9" s="6" t="n">
        <v>3000</v>
      </c>
      <c r="H9" s="6" t="n">
        <v>5000</v>
      </c>
      <c r="I9" s="3" t="inlineStr">
        <is>
          <t>SGD 3,000-5,000/mo</t>
        </is>
      </c>
      <c r="J9" s="3" t="inlineStr">
        <is>
          <t>junior executive</t>
        </is>
      </c>
      <c r="K9" s="3" t="inlineStr"/>
      <c r="L9" s="3" t="inlineStr">
        <is>
          <t>Permanent, Full Time</t>
        </is>
      </c>
      <c r="M9" s="3" t="inlineStr">
        <is>
          <t>MyCareersFuture</t>
        </is>
      </c>
      <c r="N9" s="7" t="n">
        <v>46315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https://www.mycareersfuture.gov.sg/job/customer-service/entry-level-business-development-associate-atrix-marketing-solutions-61d25fe4d7a97686c61747b6429ed40e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10 of 12</t>
        </is>
      </c>
      <c r="C10" s="4" t="n">
        <v>0.667</v>
      </c>
      <c r="D10" s="3" t="n"/>
      <c r="E10" s="5" t="inlineStr">
        <is>
          <t>Inside Sales Executive (Automotive Parts, Up to $4,500)</t>
        </is>
      </c>
      <c r="F10" s="3" t="inlineStr">
        <is>
          <t>RECRUIT EXPERT PTE. LTD.</t>
        </is>
      </c>
      <c r="G10" s="6" t="n">
        <v>3500</v>
      </c>
      <c r="H10" s="6" t="n">
        <v>4500</v>
      </c>
      <c r="I10" s="3" t="inlineStr">
        <is>
          <t>SGD 3,500-4,500/mo</t>
        </is>
      </c>
      <c r="J10" s="3" t="inlineStr">
        <is>
          <t>executive</t>
        </is>
      </c>
      <c r="K10" s="3" t="inlineStr"/>
      <c r="L10" s="3" t="inlineStr">
        <is>
          <t>Permanent</t>
        </is>
      </c>
      <c r="M10" s="3" t="inlineStr">
        <is>
          <t>MyCareersFuture</t>
        </is>
      </c>
      <c r="N10" s="7" t="n">
        <v>46315</v>
      </c>
      <c r="O10" s="8" t="inlineStr">
        <is>
          <t>Fintech / payments / SME / merchant domain, Commission / incentives on top of base</t>
        </is>
      </c>
      <c r="P10" s="8" t="inlineStr"/>
      <c r="Q10" s="9" t="inlineStr">
        <is>
          <t>https://www.mycareersfuture.gov.sg/job/sales/inside-sales-executive-recruit-expert-8ed967adb3daf96ba90dd2c7a388acd5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10 of 12</t>
        </is>
      </c>
      <c r="C11" s="4" t="n">
        <v>0.667</v>
      </c>
      <c r="D11" s="3" t="n"/>
      <c r="E11" s="5" t="inlineStr">
        <is>
          <t>Business Development Associate (Career Opportunities)</t>
        </is>
      </c>
      <c r="F11" s="3" t="inlineStr">
        <is>
          <t>SIMPLE RECRUIT</t>
        </is>
      </c>
      <c r="G11" s="6" t="n">
        <v>3200</v>
      </c>
      <c r="H11" s="6" t="n">
        <v>4800</v>
      </c>
      <c r="I11" s="3" t="inlineStr">
        <is>
          <t>SGD 3,200-4,800/mo</t>
        </is>
      </c>
      <c r="J11" s="3" t="inlineStr">
        <is>
          <t>fresh</t>
        </is>
      </c>
      <c r="K11" s="3" t="inlineStr"/>
      <c r="L11" s="3" t="inlineStr">
        <is>
          <t>Full Time</t>
        </is>
      </c>
      <c r="M11" s="3" t="inlineStr">
        <is>
          <t>MyCareersFuture</t>
        </is>
      </c>
      <c r="N11" s="7" t="n">
        <v>46314</v>
      </c>
      <c r="O11" s="8" t="inlineStr">
        <is>
          <t>Fintech / payments / SME / merchant domain, Commission / incentives on top of base</t>
        </is>
      </c>
      <c r="P11" s="8" t="inlineStr"/>
      <c r="Q11" s="9" t="inlineStr">
        <is>
          <t>https://www.mycareersfuture.gov.sg/job/events/business-development-associate-simple-recruit-6636cb6df5a78a72590a21b47f607fad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10 of 12</t>
        </is>
      </c>
      <c r="C12" s="4" t="n">
        <v>0.667</v>
      </c>
      <c r="D12" s="3" t="n"/>
      <c r="E12" s="5" t="inlineStr">
        <is>
          <t>Inside Sales Executive (Tuas)</t>
        </is>
      </c>
      <c r="F12" s="3" t="inlineStr">
        <is>
          <t>FOCAL SEARCH PTE. LTD.</t>
        </is>
      </c>
      <c r="G12" s="6" t="n">
        <v>3500</v>
      </c>
      <c r="H12" s="6" t="n">
        <v>4300</v>
      </c>
      <c r="I12" s="3" t="inlineStr">
        <is>
          <t>SGD 3,500-4,300/mo</t>
        </is>
      </c>
      <c r="J12" s="3" t="inlineStr">
        <is>
          <t>executive</t>
        </is>
      </c>
      <c r="K12" s="3" t="inlineStr"/>
      <c r="L12" s="3" t="inlineStr">
        <is>
          <t>Permanent, Full Time</t>
        </is>
      </c>
      <c r="M12" s="3" t="inlineStr">
        <is>
          <t>MyCareersFuture</t>
        </is>
      </c>
      <c r="N12" s="7" t="n">
        <v>46314</v>
      </c>
      <c r="O12" s="8" t="inlineStr">
        <is>
          <t>Fintech / payments / SME / merchant domain, Commission / incentives on top of base</t>
        </is>
      </c>
      <c r="P12" s="8" t="inlineStr"/>
      <c r="Q12" s="9" t="inlineStr">
        <is>
          <t>https://www.mycareersfuture.gov.sg/job/admin/inside-sales-executive-focal-search-1ca46ebbb42d025115a10381830c12f1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10 of 12</t>
        </is>
      </c>
      <c r="C13" s="4" t="n">
        <v>0.667</v>
      </c>
      <c r="D13" s="3" t="n"/>
      <c r="E13" s="5" t="inlineStr">
        <is>
          <t>Business Development Associate</t>
        </is>
      </c>
      <c r="F13" s="3" t="inlineStr">
        <is>
          <t>ROYAL ORG PTE. LTD.</t>
        </is>
      </c>
      <c r="G13" s="6" t="n">
        <v>3000</v>
      </c>
      <c r="H13" s="6" t="n">
        <v>4800</v>
      </c>
      <c r="I13" s="3" t="inlineStr">
        <is>
          <t>SGD 3,000-4,800/mo</t>
        </is>
      </c>
      <c r="J13" s="3" t="inlineStr">
        <is>
          <t>fresh</t>
        </is>
      </c>
      <c r="K13" s="3" t="inlineStr"/>
      <c r="L13" s="3" t="inlineStr">
        <is>
          <t>Part Time, Full Time</t>
        </is>
      </c>
      <c r="M13" s="3" t="inlineStr">
        <is>
          <t>MyCareersFuture</t>
        </is>
      </c>
      <c r="N13" s="7" t="n">
        <v>46313</v>
      </c>
      <c r="O13" s="8" t="inlineStr">
        <is>
          <t>Fintech / payments / SME / merchant domain, Commission / incentives on top of base</t>
        </is>
      </c>
      <c r="P13" s="8" t="inlineStr"/>
      <c r="Q13" s="9" t="inlineStr">
        <is>
          <t>https://www.mycareersfuture.gov.sg/job/customer-service/business-development-associate-royal-org-af0903f483dfa0fb16ca2db3c35a3530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10 of 12</t>
        </is>
      </c>
      <c r="C14" s="4" t="n">
        <v>0.667</v>
      </c>
      <c r="D14" s="3" t="n"/>
      <c r="E14" s="5" t="inlineStr">
        <is>
          <t>Sales Development Associate (Entry Level)</t>
        </is>
      </c>
      <c r="F14" s="3" t="inlineStr">
        <is>
          <t>ROYAL ORG PTE. LTD.</t>
        </is>
      </c>
      <c r="G14" s="6" t="n">
        <v>2000</v>
      </c>
      <c r="H14" s="6" t="n">
        <v>4000</v>
      </c>
      <c r="I14" s="3" t="inlineStr">
        <is>
          <t>SGD 2,000-4,000/mo</t>
        </is>
      </c>
      <c r="J14" s="3" t="inlineStr">
        <is>
          <t>junior executive</t>
        </is>
      </c>
      <c r="K14" s="3" t="inlineStr"/>
      <c r="L14" s="3" t="inlineStr">
        <is>
          <t>Full Time</t>
        </is>
      </c>
      <c r="M14" s="3" t="inlineStr">
        <is>
          <t>MyCareersFuture</t>
        </is>
      </c>
      <c r="N14" s="7" t="n">
        <v>46310</v>
      </c>
      <c r="O14" s="8" t="inlineStr">
        <is>
          <t>Fintech / payments / SME / merchant domain, Commission / incentives on top of base</t>
        </is>
      </c>
      <c r="P14" s="8" t="inlineStr"/>
      <c r="Q14" s="9" t="inlineStr">
        <is>
          <t>https://www.mycareersfuture.gov.sg/job/events/sales-development-associate-royal-org-ef7df2ffa0e64aa5038e32cafb091385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10 of 12</t>
        </is>
      </c>
      <c r="C15" s="4" t="n">
        <v>0.667</v>
      </c>
      <c r="D15" s="3" t="n"/>
      <c r="E15" s="5" t="inlineStr">
        <is>
          <t>Sales Development Representative (SDR)</t>
        </is>
      </c>
      <c r="F15" s="3" t="inlineStr">
        <is>
          <t>SAFVR TECHNOLOGIES PTE. LTD.</t>
        </is>
      </c>
      <c r="G15" s="6" t="n">
        <v>3900</v>
      </c>
      <c r="H15" s="6" t="n">
        <v>4500</v>
      </c>
      <c r="I15" s="3" t="inlineStr">
        <is>
          <t>SGD 3,900-4,500/mo</t>
        </is>
      </c>
      <c r="J15" s="3" t="inlineStr">
        <is>
          <t>junior executive</t>
        </is>
      </c>
      <c r="K15" s="3" t="inlineStr"/>
      <c r="L15" s="3" t="inlineStr">
        <is>
          <t>Full Time</t>
        </is>
      </c>
      <c r="M15" s="3" t="inlineStr">
        <is>
          <t>MyCareersFuture</t>
        </is>
      </c>
      <c r="N15" s="7" t="n">
        <v>46310</v>
      </c>
      <c r="O15" s="8" t="inlineStr">
        <is>
          <t>Fintech / payments / SME / merchant domain, Commission / incentives on top of base</t>
        </is>
      </c>
      <c r="P15" s="8" t="inlineStr"/>
      <c r="Q15" s="9" t="inlineStr">
        <is>
          <t>https://www.mycareersfuture.gov.sg/job/marketing/sales-development-representative-safvr-technologies-4ae5f2c8faf2985968f824bcdc54daec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Sales Development Trainee (Entry-Level)</t>
        </is>
      </c>
      <c r="F16" s="3" t="inlineStr">
        <is>
          <t>Ascend Marketing</t>
        </is>
      </c>
      <c r="G16" s="6" t="n">
        <v>3500</v>
      </c>
      <c r="H16" s="6" t="n">
        <v>4500</v>
      </c>
      <c r="I16" s="3" t="inlineStr">
        <is>
          <t>SGD 3,500-4,500/mo</t>
        </is>
      </c>
      <c r="J16" s="3" t="inlineStr">
        <is>
          <t>-</t>
        </is>
      </c>
      <c r="K16" s="3" t="inlineStr">
        <is>
          <t>on-site</t>
        </is>
      </c>
      <c r="L16" s="3" t="inlineStr">
        <is>
          <t>Full time</t>
        </is>
      </c>
      <c r="M16" s="3" t="inlineStr">
        <is>
          <t>JobStreet</t>
        </is>
      </c>
      <c r="N16" s="7" t="n">
        <v>46315</v>
      </c>
      <c r="O16" s="8" t="inlineStr">
        <is>
          <t>Fintech / payments / SME / merchant domain, Commission / incentives on top of base, Entry to senior executive level (not manager)</t>
        </is>
      </c>
      <c r="P16" s="8" t="inlineStr"/>
      <c r="Q16" s="9" t="inlineStr">
        <is>
          <t>https://sg.jobstreet.com/job/95368393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Business Development Associate</t>
        </is>
      </c>
      <c r="F17" s="3" t="inlineStr">
        <is>
          <t>AURATALENTSG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>
        <is>
          <t>on-site</t>
        </is>
      </c>
      <c r="L17" s="3" t="inlineStr">
        <is>
          <t>Full time, Part time</t>
        </is>
      </c>
      <c r="M17" s="3" t="inlineStr">
        <is>
          <t>JobStreet</t>
        </is>
      </c>
      <c r="N17" s="7" t="n">
        <v>46314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https://sg.jobstreet.com/job/95362249</t>
        </is>
      </c>
      <c r="R17" s="3" t="inlineStr">
        <is>
          <t>To review</t>
        </is>
      </c>
      <c r="S17" s="8" t="inlineStr"/>
    </row>
    <row r="18">
      <c r="A18" s="10" t="inlineStr">
        <is>
          <t>B</t>
        </is>
      </c>
      <c r="B18" s="3" t="inlineStr">
        <is>
          <t>9 of 12</t>
        </is>
      </c>
      <c r="C18" s="4" t="n">
        <v>0.6</v>
      </c>
      <c r="D18" s="3" t="n"/>
      <c r="E18" s="5" t="inlineStr">
        <is>
          <t>Inside Sales Account Representative - JMP</t>
        </is>
      </c>
      <c r="F18" s="3" t="inlineStr">
        <is>
          <t>JMP</t>
        </is>
      </c>
      <c r="G18" s="6" t="n"/>
      <c r="H18" s="6" t="n"/>
      <c r="I18" s="3" t="inlineStr">
        <is>
          <t>not stated</t>
        </is>
      </c>
      <c r="J18" s="3" t="inlineStr">
        <is>
          <t>executive</t>
        </is>
      </c>
      <c r="K18" s="3" t="inlineStr">
        <is>
          <t>remote</t>
        </is>
      </c>
      <c r="L18" s="3" t="inlineStr">
        <is>
          <t>Full-time</t>
        </is>
      </c>
      <c r="M18" s="3" t="inlineStr">
        <is>
          <t>LinkedIn</t>
        </is>
      </c>
      <c r="N18" s="7" t="n">
        <v>46314</v>
      </c>
      <c r="O18" s="8" t="inlineStr">
        <is>
          <t>Fintech / payments / SME / merchant domain, Base salary can reach SGD 4,000 / month, Commission / incentives on top of base</t>
        </is>
      </c>
      <c r="P18" s="8" t="inlineStr"/>
      <c r="Q18" s="9" t="inlineStr">
        <is>
          <t>https://sg.linkedin.com/jobs/view/inside-sales-account-representative-jmp-at-jmp-4480917988</t>
        </is>
      </c>
      <c r="R18" s="3" t="inlineStr">
        <is>
          <t>To review</t>
        </is>
      </c>
      <c r="S18" s="8" t="inlineStr"/>
    </row>
    <row r="19">
      <c r="A19" s="10" t="inlineStr">
        <is>
          <t>B</t>
        </is>
      </c>
      <c r="B19" s="3" t="inlineStr">
        <is>
          <t>9 of 12</t>
        </is>
      </c>
      <c r="C19" s="4" t="n">
        <v>0.6</v>
      </c>
      <c r="D19" s="3" t="n"/>
      <c r="E19" s="5" t="inlineStr">
        <is>
          <t>Sales Development Representative (Bilingual)</t>
        </is>
      </c>
      <c r="F19" s="3" t="inlineStr">
        <is>
          <t>Crimson Education</t>
        </is>
      </c>
      <c r="G19" s="6" t="n"/>
      <c r="H19" s="6" t="n"/>
      <c r="I19" s="3" t="inlineStr">
        <is>
          <t>not stated</t>
        </is>
      </c>
      <c r="J19" s="3" t="inlineStr">
        <is>
          <t>executive</t>
        </is>
      </c>
      <c r="K19" s="3" t="inlineStr"/>
      <c r="L19" s="3" t="inlineStr"/>
      <c r="M19" s="3" t="inlineStr">
        <is>
          <t>LinkedIn</t>
        </is>
      </c>
      <c r="N19" s="7" t="n">
        <v>46314</v>
      </c>
      <c r="O19" s="8" t="inlineStr">
        <is>
          <t>Fintech / payments / SME / merchant domain, Base salary can reach SGD 4,000 / month, Commission / incentives on top of base</t>
        </is>
      </c>
      <c r="P19" s="8" t="inlineStr"/>
      <c r="Q19" s="9" t="inlineStr">
        <is>
          <t>https://sg.linkedin.com/jobs/view/sales-development-representative-bilingual-at-crimson-education-4471338352</t>
        </is>
      </c>
      <c r="R19" s="3" t="inlineStr">
        <is>
          <t>To review</t>
        </is>
      </c>
      <c r="S19" s="8" t="inlineStr"/>
    </row>
    <row r="20">
      <c r="A20" s="10" t="inlineStr">
        <is>
          <t>B</t>
        </is>
      </c>
      <c r="B20" s="3" t="inlineStr">
        <is>
          <t>9 of 12</t>
        </is>
      </c>
      <c r="C20" s="4" t="n">
        <v>0.6</v>
      </c>
      <c r="D20" s="3" t="n"/>
      <c r="E20" s="5" t="inlineStr">
        <is>
          <t>Sales Development Representative (Singapore Public Sector)</t>
        </is>
      </c>
      <c r="F20" s="3" t="inlineStr">
        <is>
          <t>Elastic</t>
        </is>
      </c>
      <c r="G20" s="6" t="n"/>
      <c r="H20" s="6" t="n"/>
      <c r="I20" s="3" t="inlineStr">
        <is>
          <t>not stated</t>
        </is>
      </c>
      <c r="J20" s="3" t="inlineStr">
        <is>
          <t>executive</t>
        </is>
      </c>
      <c r="K20" s="3" t="inlineStr"/>
      <c r="L20" s="3" t="inlineStr">
        <is>
          <t>Full-time</t>
        </is>
      </c>
      <c r="M20" s="3" t="inlineStr">
        <is>
          <t>LinkedIn</t>
        </is>
      </c>
      <c r="N20" s="7" t="n">
        <v>46314</v>
      </c>
      <c r="O20" s="8" t="inlineStr">
        <is>
          <t>Fintech / payments / SME / merchant domain, Base salary can reach SGD 4,000 / month, Commission / incentives on top of base</t>
        </is>
      </c>
      <c r="P20" s="8" t="inlineStr"/>
      <c r="Q20" s="9" t="inlineStr">
        <is>
          <t>https://sg.linkedin.com/jobs/view/sales-development-representative-singapore-public-sector-at-elastic-4459183254</t>
        </is>
      </c>
      <c r="R20" s="3" t="inlineStr">
        <is>
          <t>To review</t>
        </is>
      </c>
      <c r="S20" s="8" t="inlineStr"/>
    </row>
    <row r="21">
      <c r="A21" s="10" t="inlineStr">
        <is>
          <t>B</t>
        </is>
      </c>
      <c r="B21" s="3" t="inlineStr">
        <is>
          <t>9 of 12</t>
        </is>
      </c>
      <c r="C21" s="4" t="n">
        <v>0.6</v>
      </c>
      <c r="D21" s="3" t="n"/>
      <c r="E21" s="5" t="inlineStr">
        <is>
          <t>Business Development Representative</t>
        </is>
      </c>
      <c r="F21" s="3" t="inlineStr">
        <is>
          <t>WalkMe</t>
        </is>
      </c>
      <c r="G21" s="6" t="n"/>
      <c r="H21" s="6" t="n"/>
      <c r="I21" s="3" t="inlineStr">
        <is>
          <t>not stated</t>
        </is>
      </c>
      <c r="J21" s="3" t="inlineStr">
        <is>
          <t>executive</t>
        </is>
      </c>
      <c r="K21" s="3" t="inlineStr"/>
      <c r="L21" s="3" t="inlineStr"/>
      <c r="M21" s="3" t="inlineStr">
        <is>
          <t>LinkedIn</t>
        </is>
      </c>
      <c r="N21" s="7" t="n">
        <v>46313</v>
      </c>
      <c r="O21" s="8" t="inlineStr">
        <is>
          <t>Fintech / payments / SME / merchant domain, Base salary can reach SGD 4,000 / month, Commission / incentives on top of base</t>
        </is>
      </c>
      <c r="P21" s="8" t="inlineStr"/>
      <c r="Q21" s="9" t="inlineStr">
        <is>
          <t>https://sg.linkedin.com/jobs/view/business-development-representative-at-walkme-4461435881</t>
        </is>
      </c>
      <c r="R21" s="3" t="inlineStr">
        <is>
          <t>To review</t>
        </is>
      </c>
      <c r="S21" s="8" t="inlineStr"/>
    </row>
    <row r="22">
      <c r="A22" s="10" t="inlineStr">
        <is>
          <t>B</t>
        </is>
      </c>
      <c r="B22" s="3" t="inlineStr">
        <is>
          <t>9 of 12</t>
        </is>
      </c>
      <c r="C22" s="4" t="n">
        <v>0.6</v>
      </c>
      <c r="D22" s="3" t="n"/>
      <c r="E22" s="5" t="inlineStr">
        <is>
          <t>Sales Development Representative, APAC</t>
        </is>
      </c>
      <c r="F22" s="3" t="inlineStr">
        <is>
          <t>Hazelcast</t>
        </is>
      </c>
      <c r="G22" s="6" t="n"/>
      <c r="H22" s="6" t="n"/>
      <c r="I22" s="3" t="inlineStr">
        <is>
          <t>not stated</t>
        </is>
      </c>
      <c r="J22" s="3" t="inlineStr">
        <is>
          <t>executive</t>
        </is>
      </c>
      <c r="K22" s="3" t="inlineStr">
        <is>
          <t>remote</t>
        </is>
      </c>
      <c r="L22" s="3" t="inlineStr">
        <is>
          <t>Full-time</t>
        </is>
      </c>
      <c r="M22" s="3" t="inlineStr">
        <is>
          <t>LinkedIn</t>
        </is>
      </c>
      <c r="N22" s="7" t="n">
        <v>46313</v>
      </c>
      <c r="O22" s="8" t="inlineStr">
        <is>
          <t>Fintech / payments / SME / merchant domain, Base salary can reach SGD 4,000 / month, Commission / incentives on top of base</t>
        </is>
      </c>
      <c r="P22" s="8" t="inlineStr"/>
      <c r="Q22" s="9" t="inlineStr">
        <is>
          <t>https://sg.linkedin.com/jobs/view/sales-development-representative-apac-at-hazelcast-4461985730</t>
        </is>
      </c>
      <c r="R22" s="3" t="inlineStr">
        <is>
          <t>To review</t>
        </is>
      </c>
      <c r="S22" s="8" t="inlineStr"/>
    </row>
    <row r="23">
      <c r="A23" s="10" t="inlineStr">
        <is>
          <t>B</t>
        </is>
      </c>
      <c r="B23" s="3" t="inlineStr">
        <is>
          <t>9 of 12</t>
        </is>
      </c>
      <c r="C23" s="4" t="n">
        <v>0.6</v>
      </c>
      <c r="D23" s="3" t="n"/>
      <c r="E23" s="5" t="inlineStr">
        <is>
          <t>Sales Development Representative</t>
        </is>
      </c>
      <c r="F23" s="3" t="inlineStr">
        <is>
          <t>AlphaSense</t>
        </is>
      </c>
      <c r="G23" s="6" t="n"/>
      <c r="H23" s="6" t="n"/>
      <c r="I23" s="3" t="inlineStr">
        <is>
          <t>not stated</t>
        </is>
      </c>
      <c r="J23" s="3" t="inlineStr">
        <is>
          <t>executive</t>
        </is>
      </c>
      <c r="K23" s="3" t="inlineStr"/>
      <c r="L23" s="3" t="inlineStr">
        <is>
          <t>Full-time</t>
        </is>
      </c>
      <c r="M23" s="3" t="inlineStr">
        <is>
          <t>LinkedIn</t>
        </is>
      </c>
      <c r="N23" s="7" t="n">
        <v>46312</v>
      </c>
      <c r="O23" s="8" t="inlineStr">
        <is>
          <t>Fintech / payments / SME / merchant domain, Base salary can reach SGD 4,000 / month, Commission / incentives on top of base</t>
        </is>
      </c>
      <c r="P23" s="8" t="inlineStr"/>
      <c r="Q23" s="9" t="inlineStr">
        <is>
          <t>https://sg.linkedin.com/jobs/view/sales-development-representative-at-alphasense-4454504678</t>
        </is>
      </c>
      <c r="R23" s="3" t="inlineStr">
        <is>
          <t>To review</t>
        </is>
      </c>
      <c r="S23" s="8" t="inlineStr"/>
    </row>
    <row r="24">
      <c r="A24" s="10" t="inlineStr">
        <is>
          <t>B</t>
        </is>
      </c>
      <c r="B24" s="3" t="inlineStr">
        <is>
          <t>9 of 12</t>
        </is>
      </c>
      <c r="C24" s="4" t="n">
        <v>0.6</v>
      </c>
      <c r="D24" s="3" t="n"/>
      <c r="E24" s="5" t="inlineStr">
        <is>
          <t>Business Development Representative - Thailand</t>
        </is>
      </c>
      <c r="F24" s="3" t="inlineStr">
        <is>
          <t>Workday</t>
        </is>
      </c>
      <c r="G24" s="6" t="n"/>
      <c r="H24" s="6" t="n"/>
      <c r="I24" s="3" t="inlineStr">
        <is>
          <t>not stated</t>
        </is>
      </c>
      <c r="J24" s="3" t="inlineStr">
        <is>
          <t>executive</t>
        </is>
      </c>
      <c r="K24" s="3" t="inlineStr"/>
      <c r="L24" s="3" t="inlineStr">
        <is>
          <t>Full-time</t>
        </is>
      </c>
      <c r="M24" s="3" t="inlineStr">
        <is>
          <t>LinkedIn</t>
        </is>
      </c>
      <c r="N24" s="7" t="n">
        <v>46311</v>
      </c>
      <c r="O24" s="8" t="inlineStr">
        <is>
          <t>Fintech / payments / SME / merchant domain, Base salary can reach SGD 4,000 / month, Commission / incentives on top of base</t>
        </is>
      </c>
      <c r="P24" s="8" t="inlineStr"/>
      <c r="Q24" s="9" t="inlineStr">
        <is>
          <t>https://sg.linkedin.com/jobs/view/business-development-representative-thailand-at-workday-4423105328</t>
        </is>
      </c>
      <c r="R24" s="3" t="inlineStr">
        <is>
          <t>To review</t>
        </is>
      </c>
      <c r="S24" s="8" t="inlineStr"/>
    </row>
    <row r="25">
      <c r="A25" s="10" t="inlineStr">
        <is>
          <t>B</t>
        </is>
      </c>
      <c r="B25" s="3" t="inlineStr">
        <is>
          <t>9 of 12</t>
        </is>
      </c>
      <c r="C25" s="4" t="n">
        <v>0.6</v>
      </c>
      <c r="D25" s="3" t="n"/>
      <c r="E25" s="5" t="inlineStr">
        <is>
          <t>Sales Development Representative</t>
        </is>
      </c>
      <c r="F25" s="3" t="inlineStr">
        <is>
          <t>Concentrix</t>
        </is>
      </c>
      <c r="G25" s="6" t="n"/>
      <c r="H25" s="6" t="n"/>
      <c r="I25" s="3" t="inlineStr">
        <is>
          <t>not stated</t>
        </is>
      </c>
      <c r="J25" s="3" t="inlineStr">
        <is>
          <t>executive</t>
        </is>
      </c>
      <c r="K25" s="3" t="inlineStr">
        <is>
          <t>remote</t>
        </is>
      </c>
      <c r="L25" s="3" t="inlineStr">
        <is>
          <t>Full-time</t>
        </is>
      </c>
      <c r="M25" s="3" t="inlineStr">
        <is>
          <t>LinkedIn</t>
        </is>
      </c>
      <c r="N25" s="7" t="n">
        <v>46311</v>
      </c>
      <c r="O25" s="8" t="inlineStr">
        <is>
          <t>Fintech / payments / SME / merchant domain, Base salary can reach SGD 4,000 / month, Commission / incentives on top of base</t>
        </is>
      </c>
      <c r="P25" s="8" t="inlineStr"/>
      <c r="Q25" s="9" t="inlineStr">
        <is>
          <t>https://sg.linkedin.com/jobs/view/sales-development-representative-at-concentrix-4471182815</t>
        </is>
      </c>
      <c r="R25" s="3" t="inlineStr">
        <is>
          <t>To review</t>
        </is>
      </c>
      <c r="S25" s="8" t="inlineStr"/>
    </row>
    <row r="26">
      <c r="A26" s="10" t="inlineStr">
        <is>
          <t>B</t>
        </is>
      </c>
      <c r="B26" s="3" t="inlineStr">
        <is>
          <t>9 of 12</t>
        </is>
      </c>
      <c r="C26" s="4" t="n">
        <v>0.6</v>
      </c>
      <c r="D26" s="3" t="n"/>
      <c r="E26" s="5" t="inlineStr">
        <is>
          <t>Sales Development Representative (Japanese or Korean speaking)</t>
        </is>
      </c>
      <c r="F26" s="3" t="inlineStr">
        <is>
          <t>Solace</t>
        </is>
      </c>
      <c r="G26" s="6" t="n"/>
      <c r="H26" s="6" t="n"/>
      <c r="I26" s="3" t="inlineStr">
        <is>
          <t>not stated</t>
        </is>
      </c>
      <c r="J26" s="3" t="inlineStr">
        <is>
          <t>junior executive</t>
        </is>
      </c>
      <c r="K26" s="3" t="inlineStr">
        <is>
          <t>hybrid</t>
        </is>
      </c>
      <c r="L26" s="3" t="inlineStr">
        <is>
          <t>Full-time</t>
        </is>
      </c>
      <c r="M26" s="3" t="inlineStr">
        <is>
          <t>LinkedIn</t>
        </is>
      </c>
      <c r="N26" s="7" t="n">
        <v>46311</v>
      </c>
      <c r="O26" s="8" t="inlineStr">
        <is>
          <t>Fintech / payments / SME / merchant domain, Base salary can reach SGD 4,000 / month, Commission / incentives on top of base</t>
        </is>
      </c>
      <c r="P26" s="8" t="inlineStr"/>
      <c r="Q26" s="9" t="inlineStr">
        <is>
          <t>https://sg.linkedin.com/jobs/view/sales-development-representative-japanese-or-korean-speaking-at-solace-4466357912</t>
        </is>
      </c>
      <c r="R26" s="3" t="inlineStr">
        <is>
          <t>To review</t>
        </is>
      </c>
      <c r="S26" s="8" t="inlineStr"/>
    </row>
    <row r="27">
      <c r="A27" s="10" t="inlineStr">
        <is>
          <t>B</t>
        </is>
      </c>
      <c r="B27" s="3" t="inlineStr">
        <is>
          <t>9 of 12</t>
        </is>
      </c>
      <c r="C27" s="4" t="n">
        <v>0.6</v>
      </c>
      <c r="D27" s="3" t="n"/>
      <c r="E27" s="5" t="inlineStr">
        <is>
          <t>Sales Development Representative – Financial</t>
        </is>
      </c>
      <c r="F27" s="3" t="inlineStr">
        <is>
          <t>KPLER PTE. LTD.</t>
        </is>
      </c>
      <c r="G27" s="6" t="n"/>
      <c r="H27" s="6" t="n"/>
      <c r="I27" s="3" t="inlineStr">
        <is>
          <t>not stated</t>
        </is>
      </c>
      <c r="J27" s="3" t="inlineStr">
        <is>
          <t>executive</t>
        </is>
      </c>
      <c r="K27" s="3" t="inlineStr">
        <is>
          <t>on-site</t>
        </is>
      </c>
      <c r="L27" s="3" t="inlineStr">
        <is>
          <t>Full time</t>
        </is>
      </c>
      <c r="M27" s="3" t="inlineStr">
        <is>
          <t>JobStreet</t>
        </is>
      </c>
      <c r="N27" s="7" t="n">
        <v>46310</v>
      </c>
      <c r="O27" s="8" t="inlineStr">
        <is>
          <t>Fintech / payments / SME / merchant domain, Base salary can reach SGD 4,000 / month, Commission / incentives on top of base</t>
        </is>
      </c>
      <c r="P27" s="8" t="inlineStr"/>
      <c r="Q27" s="9" t="inlineStr">
        <is>
          <t>https://sg.jobstreet.com/job/95294929</t>
        </is>
      </c>
      <c r="R27" s="3" t="inlineStr">
        <is>
          <t>To review</t>
        </is>
      </c>
      <c r="S27" s="8" t="inlineStr"/>
    </row>
    <row r="28">
      <c r="A28" s="10" t="inlineStr">
        <is>
          <t>B</t>
        </is>
      </c>
      <c r="B28" s="3" t="inlineStr">
        <is>
          <t>9 of 12</t>
        </is>
      </c>
      <c r="C28" s="4" t="n">
        <v>0.6</v>
      </c>
      <c r="D28" s="3" t="n"/>
      <c r="E28" s="5" t="inlineStr">
        <is>
          <t>Business Development Representative</t>
        </is>
      </c>
      <c r="F28" s="3" t="inlineStr">
        <is>
          <t>Smartsheet</t>
        </is>
      </c>
      <c r="G28" s="6" t="n"/>
      <c r="H28" s="6" t="n"/>
      <c r="I28" s="3" t="inlineStr">
        <is>
          <t>not stated</t>
        </is>
      </c>
      <c r="J28" s="3" t="inlineStr">
        <is>
          <t>executive</t>
        </is>
      </c>
      <c r="K28" s="3" t="inlineStr">
        <is>
          <t>hybrid</t>
        </is>
      </c>
      <c r="L28" s="3" t="inlineStr">
        <is>
          <t>Full-time</t>
        </is>
      </c>
      <c r="M28" s="3" t="inlineStr">
        <is>
          <t>LinkedIn</t>
        </is>
      </c>
      <c r="N28" s="7" t="n">
        <v>46310</v>
      </c>
      <c r="O28" s="8" t="inlineStr">
        <is>
          <t>Fintech / payments / SME / merchant domain, Base salary can reach SGD 4,000 / month, Commission / incentives on top of base</t>
        </is>
      </c>
      <c r="P28" s="8" t="inlineStr"/>
      <c r="Q28" s="9" t="inlineStr">
        <is>
          <t>https://sg.linkedin.com/jobs/view/business-development-representative-at-smartsheet-4459900706</t>
        </is>
      </c>
      <c r="R28" s="3" t="inlineStr">
        <is>
          <t>To review</t>
        </is>
      </c>
      <c r="S28" s="8" t="inlineStr"/>
    </row>
    <row r="29">
      <c r="A29" s="10" t="inlineStr">
        <is>
          <t>B</t>
        </is>
      </c>
      <c r="B29" s="3" t="inlineStr">
        <is>
          <t>9 of 12</t>
        </is>
      </c>
      <c r="C29" s="4" t="n">
        <v>0.6</v>
      </c>
      <c r="D29" s="3" t="n"/>
      <c r="E29" s="5" t="inlineStr">
        <is>
          <t>Business Development Representative - 26403</t>
        </is>
      </c>
      <c r="F29" s="3" t="inlineStr">
        <is>
          <t>Enverus</t>
        </is>
      </c>
      <c r="G29" s="6" t="n"/>
      <c r="H29" s="6" t="n"/>
      <c r="I29" s="3" t="inlineStr">
        <is>
          <t>not stated</t>
        </is>
      </c>
      <c r="J29" s="3" t="inlineStr">
        <is>
          <t>executive</t>
        </is>
      </c>
      <c r="K29" s="3" t="inlineStr"/>
      <c r="L29" s="3" t="inlineStr">
        <is>
          <t>Full-time</t>
        </is>
      </c>
      <c r="M29" s="3" t="inlineStr">
        <is>
          <t>LinkedIn</t>
        </is>
      </c>
      <c r="N29" s="7" t="n">
        <v>46310</v>
      </c>
      <c r="O29" s="8" t="inlineStr">
        <is>
          <t>Fintech / payments / SME / merchant domain, Base salary can reach SGD 4,000 / month, Commission / incentives on top of base</t>
        </is>
      </c>
      <c r="P29" s="8" t="inlineStr"/>
      <c r="Q29" s="9" t="inlineStr">
        <is>
          <t>https://sg.linkedin.com/jobs/view/business-development-representative-26403-at-enverus-4479137241</t>
        </is>
      </c>
      <c r="R29" s="3" t="inlineStr">
        <is>
          <t>To review</t>
        </is>
      </c>
      <c r="S29" s="8" t="inlineStr"/>
    </row>
    <row r="30">
      <c r="A30" s="10" t="inlineStr">
        <is>
          <t>B</t>
        </is>
      </c>
      <c r="B30" s="3" t="inlineStr">
        <is>
          <t>9 of 12</t>
        </is>
      </c>
      <c r="C30" s="4" t="n">
        <v>0.6</v>
      </c>
      <c r="D30" s="3" t="n"/>
      <c r="E30" s="5" t="inlineStr">
        <is>
          <t>Sales Development Representative</t>
        </is>
      </c>
      <c r="F30" s="3" t="inlineStr">
        <is>
          <t>Corning Incorporated</t>
        </is>
      </c>
      <c r="G30" s="6" t="n"/>
      <c r="H30" s="6" t="n"/>
      <c r="I30" s="3" t="inlineStr">
        <is>
          <t>not stated</t>
        </is>
      </c>
      <c r="J30" s="3" t="inlineStr">
        <is>
          <t>executive</t>
        </is>
      </c>
      <c r="K30" s="3" t="inlineStr"/>
      <c r="L30" s="3" t="inlineStr"/>
      <c r="M30" s="3" t="inlineStr">
        <is>
          <t>LinkedIn</t>
        </is>
      </c>
      <c r="N30" s="7" t="n">
        <v>46310</v>
      </c>
      <c r="O30" s="8" t="inlineStr">
        <is>
          <t>Fintech / payments / SME / merchant domain, Base salary can reach SGD 4,000 / month, Commission / incentives on top of base</t>
        </is>
      </c>
      <c r="P30" s="8" t="inlineStr"/>
      <c r="Q30" s="9" t="inlineStr">
        <is>
          <t>https://sg.linkedin.com/jobs/view/sales-development-representative-at-corning-incorporated-4477080468</t>
        </is>
      </c>
      <c r="R30" s="3" t="inlineStr">
        <is>
          <t>To review</t>
        </is>
      </c>
      <c r="S30" s="8" t="inlineStr"/>
    </row>
    <row r="31">
      <c r="A31" s="10" t="inlineStr">
        <is>
          <t>B</t>
        </is>
      </c>
      <c r="B31" s="3" t="inlineStr">
        <is>
          <t>9 of 12</t>
        </is>
      </c>
      <c r="C31" s="4" t="n">
        <v>0.6</v>
      </c>
      <c r="D31" s="3" t="n"/>
      <c r="E31" s="5" t="inlineStr">
        <is>
          <t>Sales Development Representative – Financial</t>
        </is>
      </c>
      <c r="F31" s="3" t="inlineStr">
        <is>
          <t>Kpler</t>
        </is>
      </c>
      <c r="G31" s="6" t="n"/>
      <c r="H31" s="6" t="n"/>
      <c r="I31" s="3" t="inlineStr">
        <is>
          <t>not stated</t>
        </is>
      </c>
      <c r="J31" s="3" t="inlineStr">
        <is>
          <t>executive</t>
        </is>
      </c>
      <c r="K31" s="3" t="inlineStr"/>
      <c r="L31" s="3" t="inlineStr">
        <is>
          <t>Full-time</t>
        </is>
      </c>
      <c r="M31" s="3" t="inlineStr">
        <is>
          <t>LinkedIn</t>
        </is>
      </c>
      <c r="N31" s="7" t="n">
        <v>46310</v>
      </c>
      <c r="O31" s="8" t="inlineStr">
        <is>
          <t>Fintech / payments / SME / merchant domain, Base salary can reach SGD 4,000 / month, Commission / incentives on top of base</t>
        </is>
      </c>
      <c r="P31" s="8" t="inlineStr"/>
      <c r="Q31" s="9" t="inlineStr">
        <is>
          <t>https://sg.linkedin.com/jobs/view/sales-development-representative-%E2%80%93-financial-at-kpler-4477094124</t>
        </is>
      </c>
      <c r="R31" s="3" t="inlineStr">
        <is>
          <t>To review</t>
        </is>
      </c>
      <c r="S31" s="8" t="inlineStr"/>
    </row>
    <row r="32">
      <c r="A32" s="10" t="inlineStr">
        <is>
          <t>B</t>
        </is>
      </c>
      <c r="B32" s="3" t="inlineStr">
        <is>
          <t>9 of 12</t>
        </is>
      </c>
      <c r="C32" s="4" t="n">
        <v>0.6</v>
      </c>
      <c r="D32" s="3" t="n"/>
      <c r="E32" s="5" t="inlineStr">
        <is>
          <t>Sales Development Specialist</t>
        </is>
      </c>
      <c r="F32" s="3" t="inlineStr">
        <is>
          <t>Concentrix</t>
        </is>
      </c>
      <c r="G32" s="6" t="n"/>
      <c r="H32" s="6" t="n"/>
      <c r="I32" s="3" t="inlineStr">
        <is>
          <t>not stated</t>
        </is>
      </c>
      <c r="J32" s="3" t="inlineStr">
        <is>
          <t>executive</t>
        </is>
      </c>
      <c r="K32" s="3" t="inlineStr"/>
      <c r="L32" s="3" t="inlineStr">
        <is>
          <t>Full-time</t>
        </is>
      </c>
      <c r="M32" s="3" t="inlineStr">
        <is>
          <t>LinkedIn</t>
        </is>
      </c>
      <c r="N32" s="7" t="n">
        <v>46310</v>
      </c>
      <c r="O32" s="8" t="inlineStr">
        <is>
          <t>Fintech / payments / SME / merchant domain, Base salary can reach SGD 4,000 / month, Commission / incentives on top of base</t>
        </is>
      </c>
      <c r="P32" s="8" t="inlineStr"/>
      <c r="Q32" s="9" t="inlineStr">
        <is>
          <t>https://sg.linkedin.com/jobs/view/sales-development-specialist-at-concentrix-4479801812</t>
        </is>
      </c>
      <c r="R32" s="3" t="inlineStr">
        <is>
          <t>To review</t>
        </is>
      </c>
      <c r="S32" s="8" t="inlineStr"/>
    </row>
    <row r="33">
      <c r="A33" s="10" t="inlineStr">
        <is>
          <t>B</t>
        </is>
      </c>
      <c r="B33" s="3" t="inlineStr">
        <is>
          <t>9 of 12</t>
        </is>
      </c>
      <c r="C33" s="4" t="n">
        <v>0.6</v>
      </c>
      <c r="D33" s="3" t="n"/>
      <c r="E33" s="5" t="inlineStr">
        <is>
          <t>Account Development Representative</t>
        </is>
      </c>
      <c r="F33" s="3" t="inlineStr">
        <is>
          <t>Coursera</t>
        </is>
      </c>
      <c r="G33" s="6" t="n"/>
      <c r="H33" s="6" t="n"/>
      <c r="I33" s="3" t="inlineStr">
        <is>
          <t>not stated</t>
        </is>
      </c>
      <c r="J33" s="3" t="inlineStr">
        <is>
          <t>executive</t>
        </is>
      </c>
      <c r="K33" s="3" t="inlineStr"/>
      <c r="L33" s="3" t="inlineStr">
        <is>
          <t>Full-time</t>
        </is>
      </c>
      <c r="M33" s="3" t="inlineStr">
        <is>
          <t>LinkedIn</t>
        </is>
      </c>
      <c r="N33" s="7" t="n">
        <v>46309</v>
      </c>
      <c r="O33" s="8" t="inlineStr">
        <is>
          <t>Fintech / payments / SME / merchant domain, Base salary can reach SGD 4,000 / month, Commission / incentives on top of base</t>
        </is>
      </c>
      <c r="P33" s="8" t="inlineStr"/>
      <c r="Q33" s="9" t="inlineStr">
        <is>
          <t>https://sg.linkedin.com/jobs/view/account-development-representative-at-coursera-4478421200</t>
        </is>
      </c>
      <c r="R33" s="3" t="inlineStr">
        <is>
          <t>To review</t>
        </is>
      </c>
      <c r="S33" s="8" t="inlineStr"/>
    </row>
    <row r="34">
      <c r="A34" s="10" t="inlineStr">
        <is>
          <t>B</t>
        </is>
      </c>
      <c r="B34" s="3" t="inlineStr">
        <is>
          <t>9 of 12</t>
        </is>
      </c>
      <c r="C34" s="4" t="n">
        <v>0.6</v>
      </c>
      <c r="D34" s="3" t="n"/>
      <c r="E34" s="5" t="inlineStr">
        <is>
          <t>Business Development Representative, Event Solutions- Japanese Speaker</t>
        </is>
      </c>
      <c r="F34" s="3" t="inlineStr">
        <is>
          <t>Cvent</t>
        </is>
      </c>
      <c r="G34" s="6" t="n"/>
      <c r="H34" s="6" t="n"/>
      <c r="I34" s="3" t="inlineStr">
        <is>
          <t>not stated</t>
        </is>
      </c>
      <c r="J34" s="3" t="inlineStr">
        <is>
          <t>executive</t>
        </is>
      </c>
      <c r="K34" s="3" t="inlineStr"/>
      <c r="L34" s="3" t="inlineStr">
        <is>
          <t>Full-time</t>
        </is>
      </c>
      <c r="M34" s="3" t="inlineStr">
        <is>
          <t>LinkedIn</t>
        </is>
      </c>
      <c r="N34" s="7" t="n">
        <v>46309</v>
      </c>
      <c r="O34" s="8" t="inlineStr">
        <is>
          <t>Fintech / payments / SME / merchant domain, Base salary can reach SGD 4,000 / month, Commission / incentives on top of base</t>
        </is>
      </c>
      <c r="P34" s="8" t="inlineStr"/>
      <c r="Q34" s="9" t="inlineStr">
        <is>
          <t>https://sg.linkedin.com/jobs/view/business-development-representative-event-solutions-japanese-speaker-at-cvent-4478480403</t>
        </is>
      </c>
      <c r="R34" s="3" t="inlineStr">
        <is>
          <t>To review</t>
        </is>
      </c>
      <c r="S34" s="8" t="inlineStr"/>
    </row>
    <row r="35">
      <c r="A35" s="10" t="inlineStr">
        <is>
          <t>B</t>
        </is>
      </c>
      <c r="B35" s="3" t="inlineStr">
        <is>
          <t>9 of 12</t>
        </is>
      </c>
      <c r="C35" s="4" t="n">
        <v>0.6</v>
      </c>
      <c r="D35" s="3" t="n"/>
      <c r="E35" s="5" t="inlineStr">
        <is>
          <t>Inside Sales Representative</t>
        </is>
      </c>
      <c r="F35" s="3" t="inlineStr">
        <is>
          <t>NOV</t>
        </is>
      </c>
      <c r="G35" s="6" t="n"/>
      <c r="H35" s="6" t="n"/>
      <c r="I35" s="3" t="inlineStr">
        <is>
          <t>not stated</t>
        </is>
      </c>
      <c r="J35" s="3" t="inlineStr">
        <is>
          <t>executive</t>
        </is>
      </c>
      <c r="K35" s="3" t="inlineStr"/>
      <c r="L35" s="3" t="inlineStr">
        <is>
          <t>Full-time</t>
        </is>
      </c>
      <c r="M35" s="3" t="inlineStr">
        <is>
          <t>LinkedIn</t>
        </is>
      </c>
      <c r="N35" s="7" t="n">
        <v>46309</v>
      </c>
      <c r="O35" s="8" t="inlineStr">
        <is>
          <t>Fintech / payments / SME / merchant domain, Base salary can reach SGD 4,000 / month, Commission / incentives on top of base</t>
        </is>
      </c>
      <c r="P35" s="8" t="inlineStr"/>
      <c r="Q35" s="9" t="inlineStr">
        <is>
          <t>https://sg.linkedin.com/jobs/view/inside-sales-representative-at-nov-4469305395</t>
        </is>
      </c>
      <c r="R35" s="3" t="inlineStr">
        <is>
          <t>To review</t>
        </is>
      </c>
      <c r="S35" s="8" t="inlineStr"/>
    </row>
    <row r="36">
      <c r="A36" s="10" t="inlineStr">
        <is>
          <t>B</t>
        </is>
      </c>
      <c r="B36" s="3" t="inlineStr">
        <is>
          <t>9 of 12</t>
        </is>
      </c>
      <c r="C36" s="4" t="n">
        <v>0.6</v>
      </c>
      <c r="D36" s="3" t="n"/>
      <c r="E36" s="5" t="inlineStr">
        <is>
          <t>Business Development Representative, Malaysia Market</t>
        </is>
      </c>
      <c r="F36" s="3" t="inlineStr">
        <is>
          <t>Informatica S.E.A. Pte Ltd</t>
        </is>
      </c>
      <c r="G36" s="6" t="n"/>
      <c r="H36" s="6" t="n"/>
      <c r="I36" s="3" t="inlineStr">
        <is>
          <t>not stated</t>
        </is>
      </c>
      <c r="J36" s="3" t="inlineStr">
        <is>
          <t>executive</t>
        </is>
      </c>
      <c r="K36" s="3" t="inlineStr">
        <is>
          <t>on-site</t>
        </is>
      </c>
      <c r="L36" s="3" t="inlineStr">
        <is>
          <t>Full time</t>
        </is>
      </c>
      <c r="M36" s="3" t="inlineStr">
        <is>
          <t>JobStreet</t>
        </is>
      </c>
      <c r="N36" s="7" t="n">
        <v>46308</v>
      </c>
      <c r="O36" s="8" t="inlineStr">
        <is>
          <t>Fintech / payments / SME / merchant domain, Base salary can reach SGD 4,000 / month, Commission / incentives on top of base</t>
        </is>
      </c>
      <c r="P36" s="8" t="inlineStr"/>
      <c r="Q36" s="9" t="inlineStr">
        <is>
          <t>https://sg.jobstreet.com/job/95242718</t>
        </is>
      </c>
      <c r="R36" s="3" t="inlineStr">
        <is>
          <t>To review</t>
        </is>
      </c>
      <c r="S36" s="8" t="inlineStr"/>
    </row>
    <row r="37">
      <c r="A37" s="10" t="inlineStr">
        <is>
          <t>B</t>
        </is>
      </c>
      <c r="B37" s="3" t="inlineStr">
        <is>
          <t>9 of 12</t>
        </is>
      </c>
      <c r="C37" s="4" t="n">
        <v>0.6</v>
      </c>
      <c r="D37" s="3" t="n"/>
      <c r="E37" s="5" t="inlineStr">
        <is>
          <t>Business Development Representative, Malaysia Market</t>
        </is>
      </c>
      <c r="F37" s="3" t="inlineStr">
        <is>
          <t>Salesforce</t>
        </is>
      </c>
      <c r="G37" s="6" t="n"/>
      <c r="H37" s="6" t="n"/>
      <c r="I37" s="3" t="inlineStr">
        <is>
          <t>not stated</t>
        </is>
      </c>
      <c r="J37" s="3" t="inlineStr">
        <is>
          <t>executive</t>
        </is>
      </c>
      <c r="K37" s="3" t="inlineStr"/>
      <c r="L37" s="3" t="inlineStr">
        <is>
          <t>Full-time</t>
        </is>
      </c>
      <c r="M37" s="3" t="inlineStr">
        <is>
          <t>LinkedIn</t>
        </is>
      </c>
      <c r="N37" s="7" t="n">
        <v>46308</v>
      </c>
      <c r="O37" s="8" t="inlineStr">
        <is>
          <t>Fintech / payments / SME / merchant domain, Base salary can reach SGD 4,000 / month, Commission / incentives on top of base</t>
        </is>
      </c>
      <c r="P37" s="8" t="inlineStr"/>
      <c r="Q37" s="9" t="inlineStr">
        <is>
          <t>https://sg.linkedin.com/jobs/view/business-development-representative-malaysia-market-at-salesforce-4478770307</t>
        </is>
      </c>
      <c r="R37" s="3" t="inlineStr">
        <is>
          <t>To review</t>
        </is>
      </c>
      <c r="S37" s="8" t="inlineStr"/>
    </row>
    <row r="38">
      <c r="A38" s="10" t="inlineStr">
        <is>
          <t>B</t>
        </is>
      </c>
      <c r="B38" s="3" t="inlineStr">
        <is>
          <t>9 of 12</t>
        </is>
      </c>
      <c r="C38" s="4" t="n">
        <v>0.6</v>
      </c>
      <c r="D38" s="3" t="n"/>
      <c r="E38" s="5" t="inlineStr">
        <is>
          <t>Business Development Representative, Public Sector (Indonesia market)</t>
        </is>
      </c>
      <c r="F38" s="3" t="inlineStr">
        <is>
          <t>Salesforce</t>
        </is>
      </c>
      <c r="G38" s="6" t="n"/>
      <c r="H38" s="6" t="n"/>
      <c r="I38" s="3" t="inlineStr">
        <is>
          <t>not stated</t>
        </is>
      </c>
      <c r="J38" s="3" t="inlineStr">
        <is>
          <t>executive</t>
        </is>
      </c>
      <c r="K38" s="3" t="inlineStr"/>
      <c r="L38" s="3" t="inlineStr">
        <is>
          <t>Full-time</t>
        </is>
      </c>
      <c r="M38" s="3" t="inlineStr">
        <is>
          <t>LinkedIn</t>
        </is>
      </c>
      <c r="N38" s="7" t="n">
        <v>46308</v>
      </c>
      <c r="O38" s="8" t="inlineStr">
        <is>
          <t>Fintech / payments / SME / merchant domain, Base salary can reach SGD 4,000 / month, Commission / incentives on top of base</t>
        </is>
      </c>
      <c r="P38" s="8" t="inlineStr"/>
      <c r="Q38" s="9" t="inlineStr">
        <is>
          <t>https://sg.linkedin.com/jobs/view/business-development-representative-public-sector-indonesia-market-at-salesforce-4414688611</t>
        </is>
      </c>
      <c r="R38" s="3" t="inlineStr">
        <is>
          <t>To review</t>
        </is>
      </c>
      <c r="S38" s="8" t="inlineStr"/>
    </row>
    <row r="39">
      <c r="A39" s="10" t="inlineStr">
        <is>
          <t>B</t>
        </is>
      </c>
      <c r="B39" s="3" t="inlineStr">
        <is>
          <t>9 of 12</t>
        </is>
      </c>
      <c r="C39" s="4" t="n">
        <v>0.6</v>
      </c>
      <c r="D39" s="3" t="n"/>
      <c r="E39" s="5" t="inlineStr">
        <is>
          <t>Business Development Representative, Public Sector (Indonesia market)</t>
        </is>
      </c>
      <c r="F39" s="3" t="inlineStr">
        <is>
          <t>Salesforce.com</t>
        </is>
      </c>
      <c r="G39" s="6" t="n"/>
      <c r="H39" s="6" t="n"/>
      <c r="I39" s="3" t="inlineStr">
        <is>
          <t>not stated</t>
        </is>
      </c>
      <c r="J39" s="3" t="inlineStr">
        <is>
          <t>executive</t>
        </is>
      </c>
      <c r="K39" s="3" t="inlineStr">
        <is>
          <t>on-site</t>
        </is>
      </c>
      <c r="L39" s="3" t="inlineStr">
        <is>
          <t>Full time</t>
        </is>
      </c>
      <c r="M39" s="3" t="inlineStr">
        <is>
          <t>JobStreet</t>
        </is>
      </c>
      <c r="N39" s="7" t="n">
        <v>46307</v>
      </c>
      <c r="O39" s="8" t="inlineStr">
        <is>
          <t>Fintech / payments / SME / merchant domain, Base salary can reach SGD 4,000 / month, Commission / incentives on top of base</t>
        </is>
      </c>
      <c r="P39" s="8" t="inlineStr"/>
      <c r="Q39" s="9" t="inlineStr">
        <is>
          <t>https://sg.jobstreet.com/job/95231589</t>
        </is>
      </c>
      <c r="R39" s="3" t="inlineStr">
        <is>
          <t>To review</t>
        </is>
      </c>
      <c r="S39" s="8" t="inlineStr"/>
    </row>
    <row r="40">
      <c r="A40" s="11" t="inlineStr">
        <is>
          <t>C</t>
        </is>
      </c>
      <c r="B40" s="3" t="inlineStr">
        <is>
          <t>8 of 12</t>
        </is>
      </c>
      <c r="C40" s="4" t="n">
        <v>0.5329999999999999</v>
      </c>
      <c r="D40" s="3" t="n"/>
      <c r="E40" s="5" t="inlineStr">
        <is>
          <t>Sales Development Representative / Business Development Representative / Inside Sales Executive</t>
        </is>
      </c>
      <c r="F40" s="3" t="inlineStr">
        <is>
          <t>AyNo Learn Educational Academy</t>
        </is>
      </c>
      <c r="G40" s="6" t="n"/>
      <c r="H40" s="6" t="n"/>
      <c r="I40" s="3" t="inlineStr">
        <is>
          <t>not stated</t>
        </is>
      </c>
      <c r="J40" s="3" t="inlineStr">
        <is>
          <t>executive</t>
        </is>
      </c>
      <c r="K40" s="3" t="inlineStr"/>
      <c r="L40" s="3" t="inlineStr">
        <is>
          <t>Part-time</t>
        </is>
      </c>
      <c r="M40" s="3" t="inlineStr">
        <is>
          <t>LinkedIn</t>
        </is>
      </c>
      <c r="N40" s="7" t="n">
        <v>46310</v>
      </c>
      <c r="O40" s="8" t="inlineStr">
        <is>
          <t>Fintech / payments / SME / merchant domain, Base salary can reach SGD 4,000 / month, Commission / incentives on top of base, Full-time / permanent</t>
        </is>
      </c>
      <c r="P40" s="8" t="inlineStr"/>
      <c r="Q40" s="9" t="inlineStr">
        <is>
          <t>https://sg.linkedin.com/jobs/view/sales-development-representative-business-development-representative-inside-sales-executive-at-ayno-learn-educational-academy-4477035904</t>
        </is>
      </c>
      <c r="R40" s="3" t="inlineStr">
        <is>
          <t>To review</t>
        </is>
      </c>
      <c r="S40" s="8" t="inlineStr"/>
    </row>
    <row r="41">
      <c r="A41" s="11" t="inlineStr">
        <is>
          <t>C</t>
        </is>
      </c>
      <c r="B41" s="3" t="inlineStr">
        <is>
          <t>8 of 12</t>
        </is>
      </c>
      <c r="C41" s="4" t="n">
        <v>0.5329999999999999</v>
      </c>
      <c r="D41" s="3" t="n"/>
      <c r="E41" s="5" t="inlineStr">
        <is>
          <t>Sales Development Representative</t>
        </is>
      </c>
      <c r="F41" s="3" t="inlineStr">
        <is>
          <t>RISE by BCG U</t>
        </is>
      </c>
      <c r="G41" s="6" t="n"/>
      <c r="H41" s="6" t="n"/>
      <c r="I41" s="3" t="inlineStr">
        <is>
          <t>not stated</t>
        </is>
      </c>
      <c r="J41" s="3" t="inlineStr">
        <is>
          <t>executive</t>
        </is>
      </c>
      <c r="K41" s="3" t="inlineStr">
        <is>
          <t>hybrid</t>
        </is>
      </c>
      <c r="L41" s="3" t="inlineStr">
        <is>
          <t>Contract</t>
        </is>
      </c>
      <c r="M41" s="3" t="inlineStr">
        <is>
          <t>LinkedIn</t>
        </is>
      </c>
      <c r="N41" s="7" t="n">
        <v>46309</v>
      </c>
      <c r="O41" s="8" t="inlineStr">
        <is>
          <t>Fintech / payments / SME / merchant domain, Base salary can reach SGD 4,000 / month, Commission / incentives on top of base, Full-time / permanent</t>
        </is>
      </c>
      <c r="P41" s="8" t="inlineStr"/>
      <c r="Q41" s="9" t="inlineStr">
        <is>
          <t>https://sg.linkedin.com/jobs/view/sales-development-representative-at-rise-by-bcg-u-4479296253</t>
        </is>
      </c>
      <c r="R41" s="3" t="inlineStr">
        <is>
          <t>To review</t>
        </is>
      </c>
      <c r="S41" s="8" t="inlineStr"/>
    </row>
  </sheetData>
  <autoFilter ref="A1:S41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  <hyperlink xmlns:r="http://schemas.openxmlformats.org/officeDocument/2006/relationships" ref="E19" r:id="rId35"/>
    <hyperlink xmlns:r="http://schemas.openxmlformats.org/officeDocument/2006/relationships" ref="Q19" r:id="rId36"/>
    <hyperlink xmlns:r="http://schemas.openxmlformats.org/officeDocument/2006/relationships" ref="E20" r:id="rId37"/>
    <hyperlink xmlns:r="http://schemas.openxmlformats.org/officeDocument/2006/relationships" ref="Q20" r:id="rId38"/>
    <hyperlink xmlns:r="http://schemas.openxmlformats.org/officeDocument/2006/relationships" ref="E21" r:id="rId39"/>
    <hyperlink xmlns:r="http://schemas.openxmlformats.org/officeDocument/2006/relationships" ref="Q21" r:id="rId40"/>
    <hyperlink xmlns:r="http://schemas.openxmlformats.org/officeDocument/2006/relationships" ref="E22" r:id="rId41"/>
    <hyperlink xmlns:r="http://schemas.openxmlformats.org/officeDocument/2006/relationships" ref="Q22" r:id="rId42"/>
    <hyperlink xmlns:r="http://schemas.openxmlformats.org/officeDocument/2006/relationships" ref="E23" r:id="rId43"/>
    <hyperlink xmlns:r="http://schemas.openxmlformats.org/officeDocument/2006/relationships" ref="Q23" r:id="rId44"/>
    <hyperlink xmlns:r="http://schemas.openxmlformats.org/officeDocument/2006/relationships" ref="E24" r:id="rId45"/>
    <hyperlink xmlns:r="http://schemas.openxmlformats.org/officeDocument/2006/relationships" ref="Q24" r:id="rId46"/>
    <hyperlink xmlns:r="http://schemas.openxmlformats.org/officeDocument/2006/relationships" ref="E25" r:id="rId47"/>
    <hyperlink xmlns:r="http://schemas.openxmlformats.org/officeDocument/2006/relationships" ref="Q25" r:id="rId48"/>
    <hyperlink xmlns:r="http://schemas.openxmlformats.org/officeDocument/2006/relationships" ref="E26" r:id="rId49"/>
    <hyperlink xmlns:r="http://schemas.openxmlformats.org/officeDocument/2006/relationships" ref="Q26" r:id="rId50"/>
    <hyperlink xmlns:r="http://schemas.openxmlformats.org/officeDocument/2006/relationships" ref="E27" r:id="rId51"/>
    <hyperlink xmlns:r="http://schemas.openxmlformats.org/officeDocument/2006/relationships" ref="Q27" r:id="rId52"/>
    <hyperlink xmlns:r="http://schemas.openxmlformats.org/officeDocument/2006/relationships" ref="E28" r:id="rId53"/>
    <hyperlink xmlns:r="http://schemas.openxmlformats.org/officeDocument/2006/relationships" ref="Q28" r:id="rId54"/>
    <hyperlink xmlns:r="http://schemas.openxmlformats.org/officeDocument/2006/relationships" ref="E29" r:id="rId55"/>
    <hyperlink xmlns:r="http://schemas.openxmlformats.org/officeDocument/2006/relationships" ref="Q29" r:id="rId56"/>
    <hyperlink xmlns:r="http://schemas.openxmlformats.org/officeDocument/2006/relationships" ref="E30" r:id="rId57"/>
    <hyperlink xmlns:r="http://schemas.openxmlformats.org/officeDocument/2006/relationships" ref="Q30" r:id="rId58"/>
    <hyperlink xmlns:r="http://schemas.openxmlformats.org/officeDocument/2006/relationships" ref="E31" r:id="rId59"/>
    <hyperlink xmlns:r="http://schemas.openxmlformats.org/officeDocument/2006/relationships" ref="Q31" r:id="rId60"/>
    <hyperlink xmlns:r="http://schemas.openxmlformats.org/officeDocument/2006/relationships" ref="E32" r:id="rId61"/>
    <hyperlink xmlns:r="http://schemas.openxmlformats.org/officeDocument/2006/relationships" ref="Q32" r:id="rId62"/>
    <hyperlink xmlns:r="http://schemas.openxmlformats.org/officeDocument/2006/relationships" ref="E33" r:id="rId63"/>
    <hyperlink xmlns:r="http://schemas.openxmlformats.org/officeDocument/2006/relationships" ref="Q33" r:id="rId64"/>
    <hyperlink xmlns:r="http://schemas.openxmlformats.org/officeDocument/2006/relationships" ref="E34" r:id="rId65"/>
    <hyperlink xmlns:r="http://schemas.openxmlformats.org/officeDocument/2006/relationships" ref="Q34" r:id="rId66"/>
    <hyperlink xmlns:r="http://schemas.openxmlformats.org/officeDocument/2006/relationships" ref="E35" r:id="rId67"/>
    <hyperlink xmlns:r="http://schemas.openxmlformats.org/officeDocument/2006/relationships" ref="Q35" r:id="rId68"/>
    <hyperlink xmlns:r="http://schemas.openxmlformats.org/officeDocument/2006/relationships" ref="E36" r:id="rId69"/>
    <hyperlink xmlns:r="http://schemas.openxmlformats.org/officeDocument/2006/relationships" ref="Q36" r:id="rId70"/>
    <hyperlink xmlns:r="http://schemas.openxmlformats.org/officeDocument/2006/relationships" ref="E37" r:id="rId71"/>
    <hyperlink xmlns:r="http://schemas.openxmlformats.org/officeDocument/2006/relationships" ref="Q37" r:id="rId72"/>
    <hyperlink xmlns:r="http://schemas.openxmlformats.org/officeDocument/2006/relationships" ref="E38" r:id="rId73"/>
    <hyperlink xmlns:r="http://schemas.openxmlformats.org/officeDocument/2006/relationships" ref="Q38" r:id="rId74"/>
    <hyperlink xmlns:r="http://schemas.openxmlformats.org/officeDocument/2006/relationships" ref="E39" r:id="rId75"/>
    <hyperlink xmlns:r="http://schemas.openxmlformats.org/officeDocument/2006/relationships" ref="Q39" r:id="rId76"/>
    <hyperlink xmlns:r="http://schemas.openxmlformats.org/officeDocument/2006/relationships" ref="E40" r:id="rId77"/>
    <hyperlink xmlns:r="http://schemas.openxmlformats.org/officeDocument/2006/relationships" ref="Q40" r:id="rId78"/>
    <hyperlink xmlns:r="http://schemas.openxmlformats.org/officeDocument/2006/relationships" ref="E41" r:id="rId79"/>
    <hyperlink xmlns:r="http://schemas.openxmlformats.org/officeDocument/2006/relationships" ref="Q41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2" t="inlineStr">
        <is>
          <t>Job Digest – Tue 20 Oct 2026 (SGT)</t>
        </is>
      </c>
    </row>
    <row r="3">
      <c r="A3" s="13" t="inlineStr">
        <is>
          <t>Tier</t>
        </is>
      </c>
      <c r="B3" s="13" t="inlineStr">
        <is>
          <t>Postings</t>
        </is>
      </c>
      <c r="C3" s="13" t="inlineStr">
        <is>
          <t>Rule</t>
        </is>
      </c>
    </row>
    <row r="4">
      <c r="A4" s="14" t="inlineStr">
        <is>
          <t>A – strong match</t>
        </is>
      </c>
      <c r="B4" s="15">
        <f>COUNTIF(Matches!$A$2:$A$41,"A")</f>
        <v/>
      </c>
      <c r="C4" s="15" t="inlineStr">
        <is>
          <t>Score ≥ 80%</t>
        </is>
      </c>
    </row>
    <row r="5">
      <c r="A5" s="16" t="inlineStr">
        <is>
          <t>B – good match</t>
        </is>
      </c>
      <c r="B5" s="15">
        <f>COUNTIF(Matches!$A$2:$A$41,"B")</f>
        <v/>
      </c>
      <c r="C5" s="15" t="inlineStr">
        <is>
          <t>Score ≥ 60%</t>
        </is>
      </c>
    </row>
    <row r="6">
      <c r="A6" s="17" t="inlineStr">
        <is>
          <t>C – partial match</t>
        </is>
      </c>
      <c r="B6" s="15">
        <f>COUNTIF(Matches!$A$2:$A$41,"C")</f>
        <v/>
      </c>
      <c r="C6" s="15" t="inlineStr">
        <is>
          <t>Score ≥ 40%</t>
        </is>
      </c>
    </row>
    <row r="7">
      <c r="A7" s="13" t="inlineStr">
        <is>
          <t>Total new matches</t>
        </is>
      </c>
      <c r="B7" s="13">
        <f>SUM(B4:B6)</f>
        <v/>
      </c>
      <c r="C7" s="13" t="inlineStr">
        <is>
          <t>Sum of the tiers above</t>
        </is>
      </c>
    </row>
    <row r="9">
      <c r="A9" s="13" t="inlineStr">
        <is>
          <t>Application tracking</t>
        </is>
      </c>
    </row>
    <row r="10">
      <c r="A10" s="15" t="inlineStr">
        <is>
          <t>Applied</t>
        </is>
      </c>
      <c r="B10" s="15">
        <f>COUNTIF(Matches!$R$2:$R$41,"Applied")</f>
        <v/>
      </c>
    </row>
    <row r="11">
      <c r="A11" s="15" t="inlineStr">
        <is>
          <t>Still to review</t>
        </is>
      </c>
      <c r="B11" s="15">
        <f>COUNTIF(Matches!$R$2:$R$41,"To review")</f>
        <v/>
      </c>
    </row>
    <row r="13">
      <c r="A13" s="13" t="inlineStr">
        <is>
          <t>This run (as reported by the search)</t>
        </is>
      </c>
    </row>
    <row r="14">
      <c r="A14" s="15" t="inlineStr">
        <is>
          <t>Postings fetched</t>
        </is>
      </c>
      <c r="B14" s="15" t="n">
        <v>781</v>
      </c>
      <c r="C14" s="15" t="inlineStr">
        <is>
          <t>MyCareersFuture 336, JobStreet 309, LinkedIn 136</t>
        </is>
      </c>
    </row>
    <row r="15">
      <c r="A15" s="15" t="inlineStr">
        <is>
          <t>Duplicates across boards</t>
        </is>
      </c>
      <c r="B15" s="15" t="n">
        <v>320</v>
      </c>
      <c r="C15" s="15" t="inlineStr"/>
    </row>
    <row r="16">
      <c r="A16" s="15" t="inlineStr">
        <is>
          <t>Excluded by must-have rules</t>
        </is>
      </c>
      <c r="B16" s="15" t="n">
        <v>296</v>
      </c>
      <c r="C16" s="15" t="inlineStr">
        <is>
          <t>Wrong title, accounting role, excluded term, location or company</t>
        </is>
      </c>
    </row>
    <row r="17">
      <c r="A17" s="15" t="inlineStr">
        <is>
          <t>Already sent in earlier digests</t>
        </is>
      </c>
      <c r="B17" s="15" t="n">
        <v>125</v>
      </c>
      <c r="C17" s="15" t="inlineStr">
        <is>
          <t>Not repeated</t>
        </is>
      </c>
    </row>
    <row r="19">
      <c r="A19" s="13" t="inlineStr">
        <is>
          <t>How to read the Matches sheet</t>
        </is>
      </c>
    </row>
    <row r="20" ht="30" customHeight="1">
      <c r="A20" s="18" t="inlineStr">
        <is>
          <t>Requirements met counts every requirement equally. Score % is weighted, so the industry requirement (weight 3) counts three times.</t>
        </is>
      </c>
    </row>
    <row r="21" ht="30" customHeight="1">
      <c r="A21" s="18" t="inlineStr">
        <is>
          <t>Salary columns are converted to SGD per month. Blank means the posting does not state a salary.</t>
        </is>
      </c>
    </row>
    <row r="22" ht="30" customHeight="1">
      <c r="A22" s="18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2026-10-20T04:28:37Z</dcterms:created>
  <dcterms:modified xsi:type="dcterms:W3CDTF">2026-10-20T04:28:37Z</dcterms:modified>
</cp:coreProperties>
</file>