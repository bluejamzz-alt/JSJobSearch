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customer-service/inside-sales-representative-keyence-singapore-4d8d211b18ba3ad1d4885ea865a66c3f" TargetMode="External" Id="rId1" /><Relationship Type="http://schemas.openxmlformats.org/officeDocument/2006/relationships/hyperlink" Target="https://www.mycareersfuture.gov.sg/job/customer-service/inside-sales-representative-keyence-singapore-4d8d211b18ba3ad1d4885ea865a66c3f" TargetMode="External" Id="rId2" /><Relationship Type="http://schemas.openxmlformats.org/officeDocument/2006/relationships/hyperlink" Target="https://www.mycareersfuture.gov.sg/job/education-training/inside-sales-associate-oom-c984b334ce16ef9918cdf5a4f5a9f841" TargetMode="External" Id="rId3" /><Relationship Type="http://schemas.openxmlformats.org/officeDocument/2006/relationships/hyperlink" Target="https://www.mycareersfuture.gov.sg/job/education-training/inside-sales-associate-oom-c984b334ce16ef9918cdf5a4f5a9f841" TargetMode="External" Id="rId4" /><Relationship Type="http://schemas.openxmlformats.org/officeDocument/2006/relationships/hyperlink" Target="https://www.mycareersfuture.gov.sg/job/sales/regional-inside-sales-executive-lcyl-supreme-hr-advisory-7c31ea39234749a0f9c29d8bc8b31d18" TargetMode="External" Id="rId5" /><Relationship Type="http://schemas.openxmlformats.org/officeDocument/2006/relationships/hyperlink" Target="https://www.mycareersfuture.gov.sg/job/sales/regional-inside-sales-executive-lcyl-supreme-hr-advisory-7c31ea39234749a0f9c29d8bc8b31d18" TargetMode="External" Id="rId6" /><Relationship Type="http://schemas.openxmlformats.org/officeDocument/2006/relationships/hyperlink" Target="https://www.mycareersfuture.gov.sg/job/wholesale-trade/regional-inside-sales-executive-agrochemical-gul-circle-5-days-45k-comm-4461-supreme-hr-advisory-bf2e37d44d0dd53e5470c7aeec22f09b" TargetMode="External" Id="rId7" /><Relationship Type="http://schemas.openxmlformats.org/officeDocument/2006/relationships/hyperlink" Target="https://www.mycareersfuture.gov.sg/job/wholesale-trade/regional-inside-sales-executive-agrochemical-gul-circle-5-days-45k-comm-4461-supreme-hr-advisory-bf2e37d44d0dd53e5470c7aeec22f09b" TargetMode="External" Id="rId8" /><Relationship Type="http://schemas.openxmlformats.org/officeDocument/2006/relationships/hyperlink" Target="https://www.mycareersfuture.gov.sg/job/advertising/%F0%9F%91%80-no-experience-required-business-development-associate-titan-collective-1a78a556783b157b0341e4f99f2f08a7" TargetMode="External" Id="rId9" /><Relationship Type="http://schemas.openxmlformats.org/officeDocument/2006/relationships/hyperlink" Target="https://www.mycareersfuture.gov.sg/job/advertising/%F0%9F%91%80-no-experience-required-business-development-associate-titan-collective-1a78a556783b157b0341e4f99f2f08a7" TargetMode="External" Id="rId10" /><Relationship Type="http://schemas.openxmlformats.org/officeDocument/2006/relationships/hyperlink" Target="https://www.mycareersfuture.gov.sg/job/marketing/%F0%9F%9A%80-sales-development-associate-titan-collective-8be15483e0ee4b7e31ff05ad00f60f74" TargetMode="External" Id="rId11" /><Relationship Type="http://schemas.openxmlformats.org/officeDocument/2006/relationships/hyperlink" Target="https://www.mycareersfuture.gov.sg/job/marketing/%F0%9F%9A%80-sales-development-associate-titan-collective-8be15483e0ee4b7e31ff05ad00f60f74" TargetMode="External" Id="rId12" /><Relationship Type="http://schemas.openxmlformats.org/officeDocument/2006/relationships/hyperlink" Target="https://sg.jobstreet.com/job/95514330" TargetMode="External" Id="rId13" /><Relationship Type="http://schemas.openxmlformats.org/officeDocument/2006/relationships/hyperlink" Target="https://sg.jobstreet.com/job/95514330" TargetMode="External" Id="rId14" /><Relationship Type="http://schemas.openxmlformats.org/officeDocument/2006/relationships/hyperlink" Target="https://www.mycareersfuture.gov.sg/job/general-management/business-development-associate-heartside-marketing-2372a391536a7722ae23009cf1053323" TargetMode="External" Id="rId15" /><Relationship Type="http://schemas.openxmlformats.org/officeDocument/2006/relationships/hyperlink" Target="https://www.mycareersfuture.gov.sg/job/general-management/business-development-associate-heartside-marketing-2372a391536a7722ae23009cf1053323" TargetMode="External" Id="rId16" /><Relationship Type="http://schemas.openxmlformats.org/officeDocument/2006/relationships/hyperlink" Target="https://www.mycareersfuture.gov.sg/job/events/business-development-associate-simple-recruit-c4dad599f7c22c009bf832b11a652c40" TargetMode="External" Id="rId17" /><Relationship Type="http://schemas.openxmlformats.org/officeDocument/2006/relationships/hyperlink" Target="https://www.mycareersfuture.gov.sg/job/events/business-development-associate-simple-recruit-c4dad599f7c22c009bf832b11a652c40" TargetMode="External" Id="rId18" /><Relationship Type="http://schemas.openxmlformats.org/officeDocument/2006/relationships/hyperlink" Target="https://www.mycareersfuture.gov.sg/job/customer-service/business-development-associate-royal-org-c0162a18b49f867befe7fd72b8c8d5ca" TargetMode="External" Id="rId19" /><Relationship Type="http://schemas.openxmlformats.org/officeDocument/2006/relationships/hyperlink" Target="https://www.mycareersfuture.gov.sg/job/customer-service/business-development-associate-royal-org-c0162a18b49f867befe7fd72b8c8d5ca" TargetMode="External" Id="rId20" /><Relationship Type="http://schemas.openxmlformats.org/officeDocument/2006/relationships/hyperlink" Target="https://www.mycareersfuture.gov.sg/job/customer-service/inside-sales-supervisor-heilind-asia-pacific-d249beaaf3ab305b640cacce64d900ca" TargetMode="External" Id="rId21" /><Relationship Type="http://schemas.openxmlformats.org/officeDocument/2006/relationships/hyperlink" Target="https://www.mycareersfuture.gov.sg/job/customer-service/inside-sales-supervisor-heilind-asia-pacific-d249beaaf3ab305b640cacce64d900ca" TargetMode="External" Id="rId22" /><Relationship Type="http://schemas.openxmlformats.org/officeDocument/2006/relationships/hyperlink" Target="https://sg.jobstreet.com/job/95512656" TargetMode="External" Id="rId23" /><Relationship Type="http://schemas.openxmlformats.org/officeDocument/2006/relationships/hyperlink" Target="https://sg.jobstreet.com/job/95512656" TargetMode="External" Id="rId24" /><Relationship Type="http://schemas.openxmlformats.org/officeDocument/2006/relationships/hyperlink" Target="https://sg.linkedin.com/jobs/view/sales-development-representative-at-firmable-4483796545" TargetMode="External" Id="rId25" /><Relationship Type="http://schemas.openxmlformats.org/officeDocument/2006/relationships/hyperlink" Target="https://sg.linkedin.com/jobs/view/sales-development-representative-at-firmable-4483796545" TargetMode="External" Id="rId26" /><Relationship Type="http://schemas.openxmlformats.org/officeDocument/2006/relationships/hyperlink" Target="https://sg.linkedin.com/jobs/view/business-development-representative-singapore-market-at-salesforce-4447565578" TargetMode="External" Id="rId27" /><Relationship Type="http://schemas.openxmlformats.org/officeDocument/2006/relationships/hyperlink" Target="https://sg.linkedin.com/jobs/view/business-development-representative-singapore-market-at-salesforce-4447565578" TargetMode="External" Id="rId28" /><Relationship Type="http://schemas.openxmlformats.org/officeDocument/2006/relationships/hyperlink" Target="https://sg.linkedin.com/jobs/view/sales-development-representative-singapore-at-opswat-4467002306" TargetMode="External" Id="rId29" /><Relationship Type="http://schemas.openxmlformats.org/officeDocument/2006/relationships/hyperlink" Target="https://sg.linkedin.com/jobs/view/sales-development-representative-singapore-at-opswat-4467002306" TargetMode="External" Id="rId30" /><Relationship Type="http://schemas.openxmlformats.org/officeDocument/2006/relationships/hyperlink" Target="https://sg.linkedin.com/jobs/view/expression-of-interest-business-development-representative-supporting-taiwan-at-workday-4340422995" TargetMode="External" Id="rId31" /><Relationship Type="http://schemas.openxmlformats.org/officeDocument/2006/relationships/hyperlink" Target="https://sg.linkedin.com/jobs/view/expression-of-interest-business-development-representative-supporting-taiwan-at-workday-4340422995" TargetMode="External" Id="rId32" /><Relationship Type="http://schemas.openxmlformats.org/officeDocument/2006/relationships/hyperlink" Target="https://sg.linkedin.com/jobs/view/lead-generation-specialist-at-broadridge-4420292859" TargetMode="External" Id="rId33" /><Relationship Type="http://schemas.openxmlformats.org/officeDocument/2006/relationships/hyperlink" Target="https://sg.linkedin.com/jobs/view/lead-generation-specialist-at-broadridge-4420292859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Inside Sales Representative</t>
        </is>
      </c>
      <c r="F2" s="3" t="inlineStr">
        <is>
          <t>KEYENCE SINGAPORE PTE LTD</t>
        </is>
      </c>
      <c r="G2" s="6" t="n">
        <v>2100</v>
      </c>
      <c r="H2" s="6" t="n">
        <v>4000</v>
      </c>
      <c r="I2" s="3" t="inlineStr">
        <is>
          <t>SGD 2,100-4,000/mo</t>
        </is>
      </c>
      <c r="J2" s="3" t="inlineStr">
        <is>
          <t>fresh</t>
        </is>
      </c>
      <c r="K2" s="3" t="inlineStr"/>
      <c r="L2" s="3" t="inlineStr">
        <is>
          <t>Contract, Full Time</t>
        </is>
      </c>
      <c r="M2" s="3" t="inlineStr">
        <is>
          <t>MyCareersFuture</t>
        </is>
      </c>
      <c r="N2" s="7" t="n">
        <v>46322</v>
      </c>
      <c r="O2" s="8" t="inlineStr">
        <is>
          <t>Fintech / payments / SME / merchant domain</t>
        </is>
      </c>
      <c r="P2" s="8" t="inlineStr"/>
      <c r="Q2" s="9" t="inlineStr">
        <is>
          <t>https://www.mycareersfuture.gov.sg/job/customer-service/inside-sales-representative-keyence-singapore-4d8d211b18ba3ad1d4885ea865a66c3f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Inside Sales Associate (B2C)</t>
        </is>
      </c>
      <c r="F3" s="3" t="inlineStr">
        <is>
          <t>OOM PTE. LTD.</t>
        </is>
      </c>
      <c r="G3" s="6" t="n">
        <v>4000</v>
      </c>
      <c r="H3" s="6" t="n">
        <v>5500</v>
      </c>
      <c r="I3" s="3" t="inlineStr">
        <is>
          <t>SGD 4,000-5,500/mo</t>
        </is>
      </c>
      <c r="J3" s="3" t="inlineStr">
        <is>
          <t>junior executive</t>
        </is>
      </c>
      <c r="K3" s="3" t="inlineStr"/>
      <c r="L3" s="3" t="inlineStr">
        <is>
          <t>Full Time</t>
        </is>
      </c>
      <c r="M3" s="3" t="inlineStr">
        <is>
          <t>MyCareersFuture</t>
        </is>
      </c>
      <c r="N3" s="7" t="n">
        <v>46321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https://www.mycareersfuture.gov.sg/job/education-training/inside-sales-associate-oom-c984b334ce16ef9918cdf5a4f5a9f841</t>
        </is>
      </c>
      <c r="R3" s="3" t="inlineStr">
        <is>
          <t>To review</t>
        </is>
      </c>
      <c r="S3" s="8" t="inlineStr"/>
    </row>
    <row r="4">
      <c r="A4" s="2" t="inlineStr">
        <is>
          <t>A</t>
        </is>
      </c>
      <c r="B4" s="3" t="inlineStr">
        <is>
          <t>11 of 12</t>
        </is>
      </c>
      <c r="C4" s="4" t="n">
        <v>0.8</v>
      </c>
      <c r="D4" s="3" t="n"/>
      <c r="E4" s="5" t="inlineStr">
        <is>
          <t>Regional Inside Sales Executive (Agrochemical) - LCYL</t>
        </is>
      </c>
      <c r="F4" s="3" t="inlineStr">
        <is>
          <t>THE SUPREME HR ADVISORY PTE. LTD.</t>
        </is>
      </c>
      <c r="G4" s="6" t="n">
        <v>3000</v>
      </c>
      <c r="H4" s="6" t="n">
        <v>4500</v>
      </c>
      <c r="I4" s="3" t="inlineStr">
        <is>
          <t>SGD 3,000-4,500/mo</t>
        </is>
      </c>
      <c r="J4" s="3" t="inlineStr">
        <is>
          <t>executive</t>
        </is>
      </c>
      <c r="K4" s="3" t="inlineStr"/>
      <c r="L4" s="3" t="inlineStr">
        <is>
          <t>Permanent, Full Time</t>
        </is>
      </c>
      <c r="M4" s="3" t="inlineStr">
        <is>
          <t>MyCareersFuture</t>
        </is>
      </c>
      <c r="N4" s="7" t="n">
        <v>46321</v>
      </c>
      <c r="O4" s="8" t="inlineStr">
        <is>
          <t>Fintech / payments / SME / merchant domain</t>
        </is>
      </c>
      <c r="P4" s="8" t="inlineStr"/>
      <c r="Q4" s="9" t="inlineStr">
        <is>
          <t>https://www.mycareersfuture.gov.sg/job/sales/regional-inside-sales-executive-lcyl-supreme-hr-advisory-7c31ea39234749a0f9c29d8bc8b31d18</t>
        </is>
      </c>
      <c r="R4" s="3" t="inlineStr">
        <is>
          <t>To review</t>
        </is>
      </c>
      <c r="S4" s="8" t="inlineStr"/>
    </row>
    <row r="5">
      <c r="A5" s="2" t="inlineStr">
        <is>
          <t>A</t>
        </is>
      </c>
      <c r="B5" s="3" t="inlineStr">
        <is>
          <t>11 of 12</t>
        </is>
      </c>
      <c r="C5" s="4" t="n">
        <v>0.8</v>
      </c>
      <c r="D5" s="3" t="n"/>
      <c r="E5" s="5" t="inlineStr">
        <is>
          <t>Regional Inside Sales Executive | Agrochemical | Gul Circle | 5 Days | Up To $4.5K + Comm - 4461</t>
        </is>
      </c>
      <c r="F5" s="3" t="inlineStr">
        <is>
          <t>THE SUPREME HR ADVISORY PTE. LTD.</t>
        </is>
      </c>
      <c r="G5" s="6" t="n">
        <v>3000</v>
      </c>
      <c r="H5" s="6" t="n">
        <v>4500</v>
      </c>
      <c r="I5" s="3" t="inlineStr">
        <is>
          <t>SGD 3,000-4,500/mo</t>
        </is>
      </c>
      <c r="J5" s="3" t="inlineStr">
        <is>
          <t>executive</t>
        </is>
      </c>
      <c r="K5" s="3" t="inlineStr"/>
      <c r="L5" s="3" t="inlineStr">
        <is>
          <t>Permanent, Full Time</t>
        </is>
      </c>
      <c r="M5" s="3" t="inlineStr">
        <is>
          <t>MyCareersFuture</t>
        </is>
      </c>
      <c r="N5" s="7" t="n">
        <v>46321</v>
      </c>
      <c r="O5" s="8" t="inlineStr">
        <is>
          <t>Fintech / payments / SME / merchant domain</t>
        </is>
      </c>
      <c r="P5" s="8" t="inlineStr"/>
      <c r="Q5" s="9" t="inlineStr">
        <is>
          <t>https://www.mycareersfuture.gov.sg/job/wholesale-trade/regional-inside-sales-executive-agrochemical-gul-circle-5-days-45k-comm-4461-supreme-hr-advisory-bf2e37d44d0dd53e5470c7aeec22f09b</t>
        </is>
      </c>
      <c r="R5" s="3" t="inlineStr">
        <is>
          <t>To review</t>
        </is>
      </c>
      <c r="S5" s="8" t="inlineStr"/>
    </row>
    <row r="6">
      <c r="A6" s="2" t="inlineStr">
        <is>
          <t>A</t>
        </is>
      </c>
      <c r="B6" s="3" t="inlineStr">
        <is>
          <t>11 of 12</t>
        </is>
      </c>
      <c r="C6" s="4" t="n">
        <v>0.8</v>
      </c>
      <c r="D6" s="3" t="n"/>
      <c r="E6" s="5" t="inlineStr">
        <is>
          <t>👀 [NO EXPERIENCE REQUIRED] Business Development Associate</t>
        </is>
      </c>
      <c r="F6" s="3" t="inlineStr">
        <is>
          <t>TITAN COLLECTIVE</t>
        </is>
      </c>
      <c r="G6" s="6" t="n">
        <v>3200</v>
      </c>
      <c r="H6" s="6" t="n">
        <v>4500</v>
      </c>
      <c r="I6" s="3" t="inlineStr">
        <is>
          <t>SGD 3,200-4,500/mo</t>
        </is>
      </c>
      <c r="J6" s="3" t="inlineStr">
        <is>
          <t>fresh</t>
        </is>
      </c>
      <c r="K6" s="3" t="inlineStr"/>
      <c r="L6" s="3" t="inlineStr">
        <is>
          <t>Temporary, Part Time, Permanent, Full Time</t>
        </is>
      </c>
      <c r="M6" s="3" t="inlineStr">
        <is>
          <t>MyCareersFuture</t>
        </is>
      </c>
      <c r="N6" s="7" t="n">
        <v>46321</v>
      </c>
      <c r="O6" s="8" t="inlineStr">
        <is>
          <t>Fintech / payments / SME / merchant domain</t>
        </is>
      </c>
      <c r="P6" s="8" t="inlineStr"/>
      <c r="Q6" s="9" t="inlineStr">
        <is>
          <t>https://www.mycareersfuture.gov.sg/job/advertising/%F0%9F%91%80-no-experience-required-business-development-associate-titan-collective-1a78a556783b157b0341e4f99f2f08a7</t>
        </is>
      </c>
      <c r="R6" s="3" t="inlineStr">
        <is>
          <t>To review</t>
        </is>
      </c>
      <c r="S6" s="8" t="inlineStr"/>
    </row>
    <row r="7">
      <c r="A7" s="2" t="inlineStr">
        <is>
          <t>A</t>
        </is>
      </c>
      <c r="B7" s="3" t="inlineStr">
        <is>
          <t>11 of 12</t>
        </is>
      </c>
      <c r="C7" s="4" t="n">
        <v>0.8</v>
      </c>
      <c r="D7" s="3" t="n"/>
      <c r="E7" s="5" t="inlineStr">
        <is>
          <t>🚀 Sales Development Associate</t>
        </is>
      </c>
      <c r="F7" s="3" t="inlineStr">
        <is>
          <t>TITAN COLLECTIVE</t>
        </is>
      </c>
      <c r="G7" s="6" t="n">
        <v>3500</v>
      </c>
      <c r="H7" s="6" t="n">
        <v>4500</v>
      </c>
      <c r="I7" s="3" t="inlineStr">
        <is>
          <t>SGD 3,500-4,500/mo</t>
        </is>
      </c>
      <c r="J7" s="3" t="inlineStr">
        <is>
          <t>fresh</t>
        </is>
      </c>
      <c r="K7" s="3" t="inlineStr"/>
      <c r="L7" s="3" t="inlineStr">
        <is>
          <t>Temporary, Part Time, Permanent, Full Time</t>
        </is>
      </c>
      <c r="M7" s="3" t="inlineStr">
        <is>
          <t>MyCareersFuture</t>
        </is>
      </c>
      <c r="N7" s="7" t="n">
        <v>46321</v>
      </c>
      <c r="O7" s="8" t="inlineStr">
        <is>
          <t>Fintech / payments / SME / merchant domain</t>
        </is>
      </c>
      <c r="P7" s="8" t="inlineStr"/>
      <c r="Q7" s="9" t="inlineStr">
        <is>
          <t>https://www.mycareersfuture.gov.sg/job/marketing/%F0%9F%9A%80-sales-development-associate-titan-collective-8be15483e0ee4b7e31ff05ad00f60f74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Inside Sales Executive (CCTV)</t>
        </is>
      </c>
      <c r="F8" s="3" t="inlineStr">
        <is>
          <t>TP-LINK CORPORATION PTE. LTD.</t>
        </is>
      </c>
      <c r="G8" s="6" t="n">
        <v>4000</v>
      </c>
      <c r="H8" s="6" t="n">
        <v>6000</v>
      </c>
      <c r="I8" s="3" t="inlineStr">
        <is>
          <t>SGD 4,000-6,000/mo</t>
        </is>
      </c>
      <c r="J8" s="3" t="inlineStr">
        <is>
          <t>executive</t>
        </is>
      </c>
      <c r="K8" s="3" t="inlineStr">
        <is>
          <t>on-site</t>
        </is>
      </c>
      <c r="L8" s="3" t="inlineStr">
        <is>
          <t>Full time</t>
        </is>
      </c>
      <c r="M8" s="3" t="inlineStr">
        <is>
          <t>JobStreet</t>
        </is>
      </c>
      <c r="N8" s="7" t="n">
        <v>46322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https://sg.jobstreet.com/job/95514330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Business Development Associate</t>
        </is>
      </c>
      <c r="F9" s="3" t="inlineStr">
        <is>
          <t>HEARTSIDE MARKETING</t>
        </is>
      </c>
      <c r="G9" s="6" t="n">
        <v>3300</v>
      </c>
      <c r="H9" s="6" t="n">
        <v>4000</v>
      </c>
      <c r="I9" s="3" t="inlineStr">
        <is>
          <t>SGD 3,300-4,000/mo</t>
        </is>
      </c>
      <c r="J9" s="3" t="inlineStr">
        <is>
          <t>fresh</t>
        </is>
      </c>
      <c r="K9" s="3" t="inlineStr"/>
      <c r="L9" s="3" t="inlineStr">
        <is>
          <t>Full Time</t>
        </is>
      </c>
      <c r="M9" s="3" t="inlineStr">
        <is>
          <t>MyCareersFuture</t>
        </is>
      </c>
      <c r="N9" s="7" t="n">
        <v>46322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https://www.mycareersfuture.gov.sg/job/general-management/business-development-associate-heartside-marketing-2372a391536a7722ae23009cf1053323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10 of 12</t>
        </is>
      </c>
      <c r="C10" s="4" t="n">
        <v>0.667</v>
      </c>
      <c r="D10" s="3" t="n"/>
      <c r="E10" s="5" t="inlineStr">
        <is>
          <t>Business Development Associate (Career Opportunities)</t>
        </is>
      </c>
      <c r="F10" s="3" t="inlineStr">
        <is>
          <t>SIMPLE RECRUIT</t>
        </is>
      </c>
      <c r="G10" s="6" t="n">
        <v>3200</v>
      </c>
      <c r="H10" s="6" t="n">
        <v>4800</v>
      </c>
      <c r="I10" s="3" t="inlineStr">
        <is>
          <t>SGD 3,200-4,800/mo</t>
        </is>
      </c>
      <c r="J10" s="3" t="inlineStr">
        <is>
          <t>fresh</t>
        </is>
      </c>
      <c r="K10" s="3" t="inlineStr"/>
      <c r="L10" s="3" t="inlineStr">
        <is>
          <t>Full Time</t>
        </is>
      </c>
      <c r="M10" s="3" t="inlineStr">
        <is>
          <t>MyCareersFuture</t>
        </is>
      </c>
      <c r="N10" s="7" t="n">
        <v>46322</v>
      </c>
      <c r="O10" s="8" t="inlineStr">
        <is>
          <t>Fintech / payments / SME / merchant domain, Commission / incentives on top of base</t>
        </is>
      </c>
      <c r="P10" s="8" t="inlineStr"/>
      <c r="Q10" s="9" t="inlineStr">
        <is>
          <t>https://www.mycareersfuture.gov.sg/job/events/business-development-associate-simple-recruit-c4dad599f7c22c009bf832b11a652c40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10 of 12</t>
        </is>
      </c>
      <c r="C11" s="4" t="n">
        <v>0.667</v>
      </c>
      <c r="D11" s="3" t="n"/>
      <c r="E11" s="5" t="inlineStr">
        <is>
          <t>Business Development Associate</t>
        </is>
      </c>
      <c r="F11" s="3" t="inlineStr">
        <is>
          <t>ROYAL ORG PTE. LTD.</t>
        </is>
      </c>
      <c r="G11" s="6" t="n">
        <v>3000</v>
      </c>
      <c r="H11" s="6" t="n">
        <v>4800</v>
      </c>
      <c r="I11" s="3" t="inlineStr">
        <is>
          <t>SGD 3,000-4,800/mo</t>
        </is>
      </c>
      <c r="J11" s="3" t="inlineStr">
        <is>
          <t>fresh</t>
        </is>
      </c>
      <c r="K11" s="3" t="inlineStr"/>
      <c r="L11" s="3" t="inlineStr">
        <is>
          <t>Part Time, Full Time</t>
        </is>
      </c>
      <c r="M11" s="3" t="inlineStr">
        <is>
          <t>MyCareersFuture</t>
        </is>
      </c>
      <c r="N11" s="7" t="n">
        <v>46321</v>
      </c>
      <c r="O11" s="8" t="inlineStr">
        <is>
          <t>Fintech / payments / SME / merchant domain, Commission / incentives on top of base</t>
        </is>
      </c>
      <c r="P11" s="8" t="inlineStr"/>
      <c r="Q11" s="9" t="inlineStr">
        <is>
          <t>https://www.mycareersfuture.gov.sg/job/customer-service/business-development-associate-royal-org-c0162a18b49f867befe7fd72b8c8d5ca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10 of 12</t>
        </is>
      </c>
      <c r="C12" s="4" t="n">
        <v>0.667</v>
      </c>
      <c r="D12" s="3" t="n"/>
      <c r="E12" s="5" t="inlineStr">
        <is>
          <t>Inside Sales Supervisor</t>
        </is>
      </c>
      <c r="F12" s="3" t="inlineStr">
        <is>
          <t>HEILIND ASIA PACIFIC (SG) PTE. LTD.</t>
        </is>
      </c>
      <c r="G12" s="6" t="n">
        <v>4000</v>
      </c>
      <c r="H12" s="6" t="n">
        <v>5500</v>
      </c>
      <c r="I12" s="3" t="inlineStr">
        <is>
          <t>SGD 4,000-5,500/mo</t>
        </is>
      </c>
      <c r="J12" s="3" t="inlineStr">
        <is>
          <t>junior executive</t>
        </is>
      </c>
      <c r="K12" s="3" t="inlineStr"/>
      <c r="L12" s="3" t="inlineStr">
        <is>
          <t>Permanent</t>
        </is>
      </c>
      <c r="M12" s="3" t="inlineStr">
        <is>
          <t>MyCareersFuture</t>
        </is>
      </c>
      <c r="N12" s="7" t="n">
        <v>46321</v>
      </c>
      <c r="O12" s="8" t="inlineStr">
        <is>
          <t>Fintech / payments / SME / merchant domain, Commission / incentives on top of base</t>
        </is>
      </c>
      <c r="P12" s="8" t="inlineStr"/>
      <c r="Q12" s="9" t="inlineStr">
        <is>
          <t>https://www.mycareersfuture.gov.sg/job/customer-service/inside-sales-supervisor-heilind-asia-pacific-d249beaaf3ab305b640cacce64d900ca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Inside Sales Representative</t>
        </is>
      </c>
      <c r="F13" s="3" t="inlineStr">
        <is>
          <t>Fong Shen Maintenance &amp; Engrg Pte. Ltd.</t>
        </is>
      </c>
      <c r="G13" s="6" t="n">
        <v>2800</v>
      </c>
      <c r="H13" s="6" t="n">
        <v>3200</v>
      </c>
      <c r="I13" s="3" t="inlineStr">
        <is>
          <t>SGD 2,800-3,200/mo</t>
        </is>
      </c>
      <c r="J13" s="3" t="inlineStr">
        <is>
          <t>executive</t>
        </is>
      </c>
      <c r="K13" s="3" t="inlineStr">
        <is>
          <t>on-site</t>
        </is>
      </c>
      <c r="L13" s="3" t="inlineStr">
        <is>
          <t>Full time</t>
        </is>
      </c>
      <c r="M13" s="3" t="inlineStr">
        <is>
          <t>JobStreet</t>
        </is>
      </c>
      <c r="N13" s="7" t="n">
        <v>46322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https://sg.jobstreet.com/job/95512656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Sales Development Representative</t>
        </is>
      </c>
      <c r="F14" s="3" t="inlineStr">
        <is>
          <t>Firmable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/>
      <c r="L14" s="3" t="inlineStr">
        <is>
          <t>Full-time</t>
        </is>
      </c>
      <c r="M14" s="3" t="inlineStr">
        <is>
          <t>LinkedIn</t>
        </is>
      </c>
      <c r="N14" s="7" t="n">
        <v>46322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https://sg.linkedin.com/jobs/view/sales-development-representative-at-firmable-4483796545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Business Development Representative, Singapore Market</t>
        </is>
      </c>
      <c r="F15" s="3" t="inlineStr">
        <is>
          <t>Salesforce</t>
        </is>
      </c>
      <c r="G15" s="6" t="n"/>
      <c r="H15" s="6" t="n"/>
      <c r="I15" s="3" t="inlineStr">
        <is>
          <t>not stated</t>
        </is>
      </c>
      <c r="J15" s="3" t="inlineStr">
        <is>
          <t>executive</t>
        </is>
      </c>
      <c r="K15" s="3" t="inlineStr"/>
      <c r="L15" s="3" t="inlineStr"/>
      <c r="M15" s="3" t="inlineStr">
        <is>
          <t>LinkedIn</t>
        </is>
      </c>
      <c r="N15" s="7" t="n">
        <v>46321</v>
      </c>
      <c r="O15" s="8" t="inlineStr">
        <is>
          <t>Fintech / payments / SME / merchant domain, Base salary can reach SGD 4,000 / month, Commission / incentives on top of base</t>
        </is>
      </c>
      <c r="P15" s="8" t="inlineStr"/>
      <c r="Q15" s="9" t="inlineStr">
        <is>
          <t>https://sg.linkedin.com/jobs/view/business-development-representative-singapore-market-at-salesforce-4447565578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Sales Development Representative - Singapore</t>
        </is>
      </c>
      <c r="F16" s="3" t="inlineStr">
        <is>
          <t>OPSWAT</t>
        </is>
      </c>
      <c r="G16" s="6" t="n"/>
      <c r="H16" s="6" t="n"/>
      <c r="I16" s="3" t="inlineStr">
        <is>
          <t>not stated</t>
        </is>
      </c>
      <c r="J16" s="3" t="inlineStr">
        <is>
          <t>executive</t>
        </is>
      </c>
      <c r="K16" s="3" t="inlineStr"/>
      <c r="L16" s="3" t="inlineStr"/>
      <c r="M16" s="3" t="inlineStr">
        <is>
          <t>LinkedIn</t>
        </is>
      </c>
      <c r="N16" s="7" t="n">
        <v>46321</v>
      </c>
      <c r="O16" s="8" t="inlineStr">
        <is>
          <t>Fintech / payments / SME / merchant domain, Base salary can reach SGD 4,000 / month, Commission / incentives on top of base</t>
        </is>
      </c>
      <c r="P16" s="8" t="inlineStr"/>
      <c r="Q16" s="9" t="inlineStr">
        <is>
          <t>https://sg.linkedin.com/jobs/view/sales-development-representative-singapore-at-opswat-4467002306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Expression of Interest: Business Development Representative (Supporting Taiwan)</t>
        </is>
      </c>
      <c r="F17" s="3" t="inlineStr">
        <is>
          <t>Workday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/>
      <c r="L17" s="3" t="inlineStr"/>
      <c r="M17" s="3" t="inlineStr">
        <is>
          <t>LinkedIn</t>
        </is>
      </c>
      <c r="N17" s="7" t="n">
        <v>46319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https://sg.linkedin.com/jobs/view/expression-of-interest-business-development-representative-supporting-taiwan-at-workday-4340422995</t>
        </is>
      </c>
      <c r="R17" s="3" t="inlineStr">
        <is>
          <t>To review</t>
        </is>
      </c>
      <c r="S17" s="8" t="inlineStr"/>
    </row>
    <row r="18">
      <c r="A18" s="11" t="inlineStr">
        <is>
          <t>C</t>
        </is>
      </c>
      <c r="B18" s="3" t="inlineStr">
        <is>
          <t>8 of 12</t>
        </is>
      </c>
      <c r="C18" s="4" t="n">
        <v>0.5329999999999999</v>
      </c>
      <c r="D18" s="3" t="n"/>
      <c r="E18" s="5" t="inlineStr">
        <is>
          <t>Lead Generation Specialist</t>
        </is>
      </c>
      <c r="F18" s="3" t="inlineStr">
        <is>
          <t>Broadridge</t>
        </is>
      </c>
      <c r="G18" s="6" t="n"/>
      <c r="H18" s="6" t="n"/>
      <c r="I18" s="3" t="inlineStr">
        <is>
          <t>not stated</t>
        </is>
      </c>
      <c r="J18" s="3" t="inlineStr">
        <is>
          <t>Not Applicable</t>
        </is>
      </c>
      <c r="K18" s="3" t="inlineStr"/>
      <c r="L18" s="3" t="inlineStr">
        <is>
          <t>Full-time</t>
        </is>
      </c>
      <c r="M18" s="3" t="inlineStr">
        <is>
          <t>LinkedIn</t>
        </is>
      </c>
      <c r="N18" s="7" t="n">
        <v>46321</v>
      </c>
      <c r="O18" s="8" t="inlineStr">
        <is>
          <t>Fintech / payments / SME / merchant domain, Base salary can reach SGD 4,000 / month, Commission / incentives on top of base, Entry to senior executive level (not manager)</t>
        </is>
      </c>
      <c r="P18" s="8" t="inlineStr"/>
      <c r="Q18" s="9" t="inlineStr">
        <is>
          <t>https://sg.linkedin.com/jobs/view/lead-generation-specialist-at-broadridge-4420292859</t>
        </is>
      </c>
      <c r="R18" s="3" t="inlineStr">
        <is>
          <t>To review</t>
        </is>
      </c>
      <c r="S18" s="8" t="inlineStr"/>
    </row>
  </sheetData>
  <autoFilter ref="A1:S18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2" t="inlineStr">
        <is>
          <t>Job Digest – Tue 27 Oct 2026 (SGT)</t>
        </is>
      </c>
    </row>
    <row r="3">
      <c r="A3" s="13" t="inlineStr">
        <is>
          <t>Tier</t>
        </is>
      </c>
      <c r="B3" s="13" t="inlineStr">
        <is>
          <t>Postings</t>
        </is>
      </c>
      <c r="C3" s="13" t="inlineStr">
        <is>
          <t>Rule</t>
        </is>
      </c>
    </row>
    <row r="4">
      <c r="A4" s="14" t="inlineStr">
        <is>
          <t>A – strong match</t>
        </is>
      </c>
      <c r="B4" s="15">
        <f>COUNTIF(Matches!$A$2:$A$18,"A")</f>
        <v/>
      </c>
      <c r="C4" s="15" t="inlineStr">
        <is>
          <t>Score ≥ 80%</t>
        </is>
      </c>
    </row>
    <row r="5">
      <c r="A5" s="16" t="inlineStr">
        <is>
          <t>B – good match</t>
        </is>
      </c>
      <c r="B5" s="15">
        <f>COUNTIF(Matches!$A$2:$A$18,"B")</f>
        <v/>
      </c>
      <c r="C5" s="15" t="inlineStr">
        <is>
          <t>Score ≥ 60%</t>
        </is>
      </c>
    </row>
    <row r="6">
      <c r="A6" s="17" t="inlineStr">
        <is>
          <t>C – partial match</t>
        </is>
      </c>
      <c r="B6" s="15">
        <f>COUNTIF(Matches!$A$2:$A$18,"C")</f>
        <v/>
      </c>
      <c r="C6" s="15" t="inlineStr">
        <is>
          <t>Score ≥ 40%</t>
        </is>
      </c>
    </row>
    <row r="7">
      <c r="A7" s="13" t="inlineStr">
        <is>
          <t>Total new matches</t>
        </is>
      </c>
      <c r="B7" s="13">
        <f>SUM(B4:B6)</f>
        <v/>
      </c>
      <c r="C7" s="13" t="inlineStr">
        <is>
          <t>Sum of the tiers above</t>
        </is>
      </c>
    </row>
    <row r="9">
      <c r="A9" s="13" t="inlineStr">
        <is>
          <t>Application tracking</t>
        </is>
      </c>
    </row>
    <row r="10">
      <c r="A10" s="15" t="inlineStr">
        <is>
          <t>Applied</t>
        </is>
      </c>
      <c r="B10" s="15">
        <f>COUNTIF(Matches!$R$2:$R$18,"Applied")</f>
        <v/>
      </c>
    </row>
    <row r="11">
      <c r="A11" s="15" t="inlineStr">
        <is>
          <t>Still to review</t>
        </is>
      </c>
      <c r="B11" s="15">
        <f>COUNTIF(Matches!$R$2:$R$18,"To review")</f>
        <v/>
      </c>
    </row>
    <row r="13">
      <c r="A13" s="13" t="inlineStr">
        <is>
          <t>This run (as reported by the search)</t>
        </is>
      </c>
    </row>
    <row r="14">
      <c r="A14" s="15" t="inlineStr">
        <is>
          <t>Postings fetched</t>
        </is>
      </c>
      <c r="B14" s="15" t="n">
        <v>799</v>
      </c>
      <c r="C14" s="15" t="inlineStr">
        <is>
          <t>MyCareersFuture 369, JobStreet 310, LinkedIn 120</t>
        </is>
      </c>
    </row>
    <row r="15">
      <c r="A15" s="15" t="inlineStr">
        <is>
          <t>Duplicates across boards</t>
        </is>
      </c>
      <c r="B15" s="15" t="n">
        <v>311</v>
      </c>
      <c r="C15" s="15" t="inlineStr"/>
    </row>
    <row r="16">
      <c r="A16" s="15" t="inlineStr">
        <is>
          <t>Excluded by must-have rules</t>
        </is>
      </c>
      <c r="B16" s="15" t="n">
        <v>410</v>
      </c>
      <c r="C16" s="15" t="inlineStr">
        <is>
          <t>Wrong title, accounting role, excluded term, location or company</t>
        </is>
      </c>
    </row>
    <row r="17">
      <c r="A17" s="15" t="inlineStr">
        <is>
          <t>Already sent in earlier digests</t>
        </is>
      </c>
      <c r="B17" s="15" t="n">
        <v>61</v>
      </c>
      <c r="C17" s="15" t="inlineStr">
        <is>
          <t>Not repeated</t>
        </is>
      </c>
    </row>
    <row r="19">
      <c r="A19" s="13" t="inlineStr">
        <is>
          <t>How to read the Matches sheet</t>
        </is>
      </c>
    </row>
    <row r="20" ht="30" customHeight="1">
      <c r="A20" s="18" t="inlineStr">
        <is>
          <t>Requirements met counts every requirement equally. Score % is weighted, so the industry requirement (weight 3) counts three times.</t>
        </is>
      </c>
    </row>
    <row r="21" ht="30" customHeight="1">
      <c r="A21" s="18" t="inlineStr">
        <is>
          <t>Salary columns are converted to SGD per month. Blank means the posting does not state a salary.</t>
        </is>
      </c>
    </row>
    <row r="22" ht="30" customHeight="1">
      <c r="A22" s="18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2026-10-27T04:40:52Z</dcterms:created>
  <dcterms:modified xsi:type="dcterms:W3CDTF">2026-10-27T04:40:52Z</dcterms:modified>
</cp:coreProperties>
</file>