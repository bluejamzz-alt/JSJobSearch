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BFA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careersfuture.gov.sg/job/events/business-development-associate-simple-recruit-36f66ecb59e224a25bd9d037d8beea4e" TargetMode="External" Id="rId1" /><Relationship Type="http://schemas.openxmlformats.org/officeDocument/2006/relationships/hyperlink" Target="https://www.mycareersfuture.gov.sg/job/events/business-development-associate-simple-recruit-36f66ecb59e224a25bd9d037d8beea4e" TargetMode="External" Id="rId2" /><Relationship Type="http://schemas.openxmlformats.org/officeDocument/2006/relationships/hyperlink" Target="https://www.mycareersfuture.gov.sg/job/events/business-sales-development-executive-royal-org-31ca71c2210368ecefed6e650097bf96" TargetMode="External" Id="rId3" /><Relationship Type="http://schemas.openxmlformats.org/officeDocument/2006/relationships/hyperlink" Target="https://www.mycareersfuture.gov.sg/job/events/business-sales-development-executive-royal-org-31ca71c2210368ecefed6e650097bf96" TargetMode="External" Id="rId4" /><Relationship Type="http://schemas.openxmlformats.org/officeDocument/2006/relationships/hyperlink" Target="https://sg.jobstreet.com/job/95619967" TargetMode="External" Id="rId5" /><Relationship Type="http://schemas.openxmlformats.org/officeDocument/2006/relationships/hyperlink" Target="https://sg.jobstreet.com/job/95619967" TargetMode="External" Id="rId6" /><Relationship Type="http://schemas.openxmlformats.org/officeDocument/2006/relationships/hyperlink" Target="https://sg.jobstreet.com/job/95620270" TargetMode="External" Id="rId7" /><Relationship Type="http://schemas.openxmlformats.org/officeDocument/2006/relationships/hyperlink" Target="https://sg.jobstreet.com/job/95620270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B</t>
        </is>
      </c>
      <c r="B2" s="3" t="inlineStr">
        <is>
          <t>10 of 12</t>
        </is>
      </c>
      <c r="C2" s="4" t="n">
        <v>0.667</v>
      </c>
      <c r="D2" s="3" t="n"/>
      <c r="E2" s="5" t="inlineStr">
        <is>
          <t>Business Development Associate (Career Opportunities)</t>
        </is>
      </c>
      <c r="F2" s="3" t="inlineStr">
        <is>
          <t>SIMPLE RECRUIT</t>
        </is>
      </c>
      <c r="G2" s="6" t="n">
        <v>3200</v>
      </c>
      <c r="H2" s="6" t="n">
        <v>4800</v>
      </c>
      <c r="I2" s="3" t="inlineStr">
        <is>
          <t>SGD 3,200-4,800/mo</t>
        </is>
      </c>
      <c r="J2" s="3" t="inlineStr">
        <is>
          <t>fresh</t>
        </is>
      </c>
      <c r="K2" s="3" t="inlineStr"/>
      <c r="L2" s="3" t="inlineStr">
        <is>
          <t>Full Time</t>
        </is>
      </c>
      <c r="M2" s="3" t="inlineStr">
        <is>
          <t>MyCareersFuture</t>
        </is>
      </c>
      <c r="N2" s="7" t="n">
        <v>46327</v>
      </c>
      <c r="O2" s="8" t="inlineStr">
        <is>
          <t>Fintech / payments / SME / merchant domain, Commission / incentives on top of base</t>
        </is>
      </c>
      <c r="P2" s="8" t="inlineStr"/>
      <c r="Q2" s="9" t="inlineStr">
        <is>
          <t>https://www.mycareersfuture.gov.sg/job/events/business-development-associate-simple-recruit-36f66ecb59e224a25bd9d037d8beea4e</t>
        </is>
      </c>
      <c r="R2" s="3" t="inlineStr">
        <is>
          <t>To review</t>
        </is>
      </c>
      <c r="S2" s="8" t="inlineStr"/>
    </row>
    <row r="3">
      <c r="A3" s="2" t="inlineStr">
        <is>
          <t>B</t>
        </is>
      </c>
      <c r="B3" s="3" t="inlineStr">
        <is>
          <t>10 of 12</t>
        </is>
      </c>
      <c r="C3" s="4" t="n">
        <v>0.667</v>
      </c>
      <c r="D3" s="3" t="n"/>
      <c r="E3" s="5" t="inlineStr">
        <is>
          <t>Business Sales Development Executive</t>
        </is>
      </c>
      <c r="F3" s="3" t="inlineStr">
        <is>
          <t>ROYAL ORG PTE. LTD.</t>
        </is>
      </c>
      <c r="G3" s="6" t="n">
        <v>3500</v>
      </c>
      <c r="H3" s="6" t="n">
        <v>4800</v>
      </c>
      <c r="I3" s="3" t="inlineStr">
        <is>
          <t>SGD 3,500-4,800/mo</t>
        </is>
      </c>
      <c r="J3" s="3" t="inlineStr">
        <is>
          <t>executive</t>
        </is>
      </c>
      <c r="K3" s="3" t="inlineStr"/>
      <c r="L3" s="3" t="inlineStr">
        <is>
          <t>Full Time</t>
        </is>
      </c>
      <c r="M3" s="3" t="inlineStr">
        <is>
          <t>MyCareersFuture</t>
        </is>
      </c>
      <c r="N3" s="7" t="n">
        <v>46326</v>
      </c>
      <c r="O3" s="8" t="inlineStr">
        <is>
          <t>Fintech / payments / SME / merchant domain, Commission / incentives on top of base</t>
        </is>
      </c>
      <c r="P3" s="8" t="inlineStr"/>
      <c r="Q3" s="9" t="inlineStr">
        <is>
          <t>https://www.mycareersfuture.gov.sg/job/events/business-sales-development-executive-royal-org-31ca71c2210368ecefed6e650097bf96</t>
        </is>
      </c>
      <c r="R3" s="3" t="inlineStr">
        <is>
          <t>To review</t>
        </is>
      </c>
      <c r="S3" s="8" t="inlineStr"/>
    </row>
    <row r="4">
      <c r="A4" s="2" t="inlineStr">
        <is>
          <t>B</t>
        </is>
      </c>
      <c r="B4" s="3" t="inlineStr">
        <is>
          <t>9 of 12</t>
        </is>
      </c>
      <c r="C4" s="4" t="n">
        <v>0.6</v>
      </c>
      <c r="D4" s="3" t="n"/>
      <c r="E4" s="5" t="inlineStr">
        <is>
          <t>Business Development Associate</t>
        </is>
      </c>
      <c r="F4" s="3" t="inlineStr">
        <is>
          <t>AURATALENTSG</t>
        </is>
      </c>
      <c r="G4" s="6" t="n"/>
      <c r="H4" s="6" t="n"/>
      <c r="I4" s="3" t="inlineStr">
        <is>
          <t>not stated</t>
        </is>
      </c>
      <c r="J4" s="3" t="inlineStr">
        <is>
          <t>executive</t>
        </is>
      </c>
      <c r="K4" s="3" t="inlineStr">
        <is>
          <t>on-site</t>
        </is>
      </c>
      <c r="L4" s="3" t="inlineStr">
        <is>
          <t>Full time, Part time</t>
        </is>
      </c>
      <c r="M4" s="3" t="inlineStr">
        <is>
          <t>JobStreet</t>
        </is>
      </c>
      <c r="N4" s="7" t="n">
        <v>46326</v>
      </c>
      <c r="O4" s="8" t="inlineStr">
        <is>
          <t>Fintech / payments / SME / merchant domain, Base salary can reach SGD 4,000 / month, Commission / incentives on top of base</t>
        </is>
      </c>
      <c r="P4" s="8" t="inlineStr"/>
      <c r="Q4" s="9" t="inlineStr">
        <is>
          <t>https://sg.jobstreet.com/job/95619967</t>
        </is>
      </c>
      <c r="R4" s="3" t="inlineStr">
        <is>
          <t>To review</t>
        </is>
      </c>
      <c r="S4" s="8" t="inlineStr"/>
    </row>
    <row r="5">
      <c r="A5" s="2" t="inlineStr">
        <is>
          <t>B</t>
        </is>
      </c>
      <c r="B5" s="3" t="inlineStr">
        <is>
          <t>9 of 12</t>
        </is>
      </c>
      <c r="C5" s="4" t="n">
        <v>0.6</v>
      </c>
      <c r="D5" s="3" t="n"/>
      <c r="E5" s="5" t="inlineStr">
        <is>
          <t>Business Sales Development Executive</t>
        </is>
      </c>
      <c r="F5" s="3" t="inlineStr">
        <is>
          <t>ROYAL ORG PTE LTD</t>
        </is>
      </c>
      <c r="G5" s="6" t="n"/>
      <c r="H5" s="6" t="n"/>
      <c r="I5" s="3" t="inlineStr">
        <is>
          <t>not stated</t>
        </is>
      </c>
      <c r="J5" s="3" t="inlineStr">
        <is>
          <t>executive</t>
        </is>
      </c>
      <c r="K5" s="3" t="inlineStr">
        <is>
          <t>on-site</t>
        </is>
      </c>
      <c r="L5" s="3" t="inlineStr">
        <is>
          <t>Full time</t>
        </is>
      </c>
      <c r="M5" s="3" t="inlineStr">
        <is>
          <t>JobStreet</t>
        </is>
      </c>
      <c r="N5" s="7" t="n">
        <v>46326</v>
      </c>
      <c r="O5" s="8" t="inlineStr">
        <is>
          <t>Fintech / payments / SME / merchant domain, Base salary can reach SGD 4,000 / month, Commission / incentives on top of base</t>
        </is>
      </c>
      <c r="P5" s="8" t="inlineStr"/>
      <c r="Q5" s="9" t="inlineStr">
        <is>
          <t>https://sg.jobstreet.com/job/95620270</t>
        </is>
      </c>
      <c r="R5" s="3" t="inlineStr">
        <is>
          <t>To review</t>
        </is>
      </c>
      <c r="S5" s="8" t="inlineStr"/>
    </row>
  </sheetData>
  <autoFilter ref="A1:S5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0" t="inlineStr">
        <is>
          <t>Job Digest – Sun 01 Nov 2026 (SGT)</t>
        </is>
      </c>
    </row>
    <row r="3">
      <c r="A3" s="11" t="inlineStr">
        <is>
          <t>Tier</t>
        </is>
      </c>
      <c r="B3" s="11" t="inlineStr">
        <is>
          <t>Postings</t>
        </is>
      </c>
      <c r="C3" s="11" t="inlineStr">
        <is>
          <t>Rule</t>
        </is>
      </c>
    </row>
    <row r="4">
      <c r="A4" s="12" t="inlineStr">
        <is>
          <t>A – strong match</t>
        </is>
      </c>
      <c r="B4" s="13">
        <f>COUNTIF(Matches!$A$2:$A$5,"A")</f>
        <v/>
      </c>
      <c r="C4" s="13" t="inlineStr">
        <is>
          <t>Score ≥ 80%</t>
        </is>
      </c>
    </row>
    <row r="5">
      <c r="A5" s="14" t="inlineStr">
        <is>
          <t>B – good match</t>
        </is>
      </c>
      <c r="B5" s="13">
        <f>COUNTIF(Matches!$A$2:$A$5,"B")</f>
        <v/>
      </c>
      <c r="C5" s="13" t="inlineStr">
        <is>
          <t>Score ≥ 60%</t>
        </is>
      </c>
    </row>
    <row r="6">
      <c r="A6" s="15" t="inlineStr">
        <is>
          <t>C – partial match</t>
        </is>
      </c>
      <c r="B6" s="13">
        <f>COUNTIF(Matches!$A$2:$A$5,"C")</f>
        <v/>
      </c>
      <c r="C6" s="13" t="inlineStr">
        <is>
          <t>Score ≥ 40%</t>
        </is>
      </c>
    </row>
    <row r="7">
      <c r="A7" s="11" t="inlineStr">
        <is>
          <t>Total new matches</t>
        </is>
      </c>
      <c r="B7" s="11">
        <f>SUM(B4:B6)</f>
        <v/>
      </c>
      <c r="C7" s="11" t="inlineStr">
        <is>
          <t>Sum of the tiers above</t>
        </is>
      </c>
    </row>
    <row r="9">
      <c r="A9" s="11" t="inlineStr">
        <is>
          <t>Application tracking</t>
        </is>
      </c>
    </row>
    <row r="10">
      <c r="A10" s="13" t="inlineStr">
        <is>
          <t>Applied</t>
        </is>
      </c>
      <c r="B10" s="13">
        <f>COUNTIF(Matches!$R$2:$R$5,"Applied")</f>
        <v/>
      </c>
    </row>
    <row r="11">
      <c r="A11" s="13" t="inlineStr">
        <is>
          <t>Still to review</t>
        </is>
      </c>
      <c r="B11" s="13">
        <f>COUNTIF(Matches!$R$2:$R$5,"To review")</f>
        <v/>
      </c>
    </row>
    <row r="13">
      <c r="A13" s="11" t="inlineStr">
        <is>
          <t>This run (as reported by the search)</t>
        </is>
      </c>
    </row>
    <row r="14">
      <c r="A14" s="13" t="inlineStr">
        <is>
          <t>Postings fetched</t>
        </is>
      </c>
      <c r="B14" s="13" t="n">
        <v>808</v>
      </c>
      <c r="C14" s="13" t="inlineStr">
        <is>
          <t>MyCareersFuture 368, JobStreet 303, LinkedIn 137</t>
        </is>
      </c>
    </row>
    <row r="15">
      <c r="A15" s="13" t="inlineStr">
        <is>
          <t>Duplicates across boards</t>
        </is>
      </c>
      <c r="B15" s="13" t="n">
        <v>362</v>
      </c>
      <c r="C15" s="13" t="inlineStr"/>
    </row>
    <row r="16">
      <c r="A16" s="13" t="inlineStr">
        <is>
          <t>Excluded by must-have rules</t>
        </is>
      </c>
      <c r="B16" s="13" t="n">
        <v>380</v>
      </c>
      <c r="C16" s="13" t="inlineStr">
        <is>
          <t>Wrong title, accounting role, excluded term, location or company</t>
        </is>
      </c>
    </row>
    <row r="17">
      <c r="A17" s="13" t="inlineStr">
        <is>
          <t>Already sent in earlier digests</t>
        </is>
      </c>
      <c r="B17" s="13" t="n">
        <v>62</v>
      </c>
      <c r="C17" s="13" t="inlineStr">
        <is>
          <t>Not repeated</t>
        </is>
      </c>
    </row>
    <row r="19">
      <c r="A19" s="11" t="inlineStr">
        <is>
          <t>How to read the Matches sheet</t>
        </is>
      </c>
    </row>
    <row r="20" ht="30" customHeight="1">
      <c r="A20" s="16" t="inlineStr">
        <is>
          <t>Requirements met counts every requirement equally. Score % is weighted, so the industry requirement (weight 3) counts three times.</t>
        </is>
      </c>
    </row>
    <row r="21" ht="30" customHeight="1">
      <c r="A21" s="16" t="inlineStr">
        <is>
          <t>Salary columns are converted to SGD per month. Blank means the posting does not state a salary.</t>
        </is>
      </c>
    </row>
    <row r="22" ht="30" customHeight="1">
      <c r="A22" s="16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2026-11-01T05:34:33Z</dcterms:created>
  <dcterms:modified xsi:type="dcterms:W3CDTF">2026-11-01T05:34:33Z</dcterms:modified>
</cp:coreProperties>
</file>