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Summary" sheetId="2" state="visible" r:id="rId2"/>
  </sheets>
  <definedNames>
    <definedName name="_xlnm._FilterDatabase" localSheetId="0" hidden="1">'Matches'!$A$1:$S$16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EDDA"/>
      </patternFill>
    </fill>
    <fill>
      <patternFill patternType="solid">
        <fgColor rgb="00DCEBF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9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3" fillId="4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g.linkedin.com/jobs/view/sales-development-representative-mid-market-i-singapore-at-deel-4472923310" TargetMode="External" Id="rId1" /><Relationship Type="http://schemas.openxmlformats.org/officeDocument/2006/relationships/hyperlink" Target="https://sg.linkedin.com/jobs/view/sales-development-representative-mid-market-i-singapore-at-deel-4472923310" TargetMode="External" Id="rId2" /><Relationship Type="http://schemas.openxmlformats.org/officeDocument/2006/relationships/hyperlink" Target="https://www.mycareersfuture.gov.sg/job/sales/regional-inside-sales-executive-lcyl-supreme-hr-advisory-f3be489b3827411fb2f29d9b047ac8fe" TargetMode="External" Id="rId3" /><Relationship Type="http://schemas.openxmlformats.org/officeDocument/2006/relationships/hyperlink" Target="https://www.mycareersfuture.gov.sg/job/sales/regional-inside-sales-executive-lcyl-supreme-hr-advisory-f3be489b3827411fb2f29d9b047ac8fe" TargetMode="External" Id="rId4" /><Relationship Type="http://schemas.openxmlformats.org/officeDocument/2006/relationships/hyperlink" Target="https://www.mycareersfuture.gov.sg/job/customer-service/business-development-associate-royal-org-bce03ba0f551567a117bf2a2f172db83" TargetMode="External" Id="rId5" /><Relationship Type="http://schemas.openxmlformats.org/officeDocument/2006/relationships/hyperlink" Target="https://www.mycareersfuture.gov.sg/job/customer-service/business-development-associate-royal-org-bce03ba0f551567a117bf2a2f172db83" TargetMode="External" Id="rId6" /><Relationship Type="http://schemas.openxmlformats.org/officeDocument/2006/relationships/hyperlink" Target="https://www.mycareersfuture.gov.sg/job/banking-finance/inside-sales-associate-apac-fs-isac-asia-pacific-f2777481e5144eb543ca7b43a4989636" TargetMode="External" Id="rId7" /><Relationship Type="http://schemas.openxmlformats.org/officeDocument/2006/relationships/hyperlink" Target="https://www.mycareersfuture.gov.sg/job/banking-finance/inside-sales-associate-apac-fs-isac-asia-pacific-f2777481e5144eb543ca7b43a4989636" TargetMode="External" Id="rId8" /><Relationship Type="http://schemas.openxmlformats.org/officeDocument/2006/relationships/hyperlink" Target="https://www.mycareersfuture.gov.sg/job/events/business-development-associate-simple-recruit-adcbaca84077a02d0cd070a5f6e012d5" TargetMode="External" Id="rId9" /><Relationship Type="http://schemas.openxmlformats.org/officeDocument/2006/relationships/hyperlink" Target="https://www.mycareersfuture.gov.sg/job/events/business-development-associate-simple-recruit-adcbaca84077a02d0cd070a5f6e012d5" TargetMode="External" Id="rId10" /><Relationship Type="http://schemas.openxmlformats.org/officeDocument/2006/relationships/hyperlink" Target="https://www.mycareersfuture.gov.sg/job/sales/business-development-representative-vietnam-market-salesforcecom-singapore-8f2df141313fcb8f3f09fadcd26b89bc" TargetMode="External" Id="rId11" /><Relationship Type="http://schemas.openxmlformats.org/officeDocument/2006/relationships/hyperlink" Target="https://www.mycareersfuture.gov.sg/job/sales/business-development-representative-vietnam-market-salesforcecom-singapore-8f2df141313fcb8f3f09fadcd26b89bc" TargetMode="External" Id="rId12" /><Relationship Type="http://schemas.openxmlformats.org/officeDocument/2006/relationships/hyperlink" Target="https://www.mycareersfuture.gov.sg/job/sales/inside-sales-executive-recruit-expert-6193b07baabae403fcce1d3d70752eac" TargetMode="External" Id="rId13" /><Relationship Type="http://schemas.openxmlformats.org/officeDocument/2006/relationships/hyperlink" Target="https://www.mycareersfuture.gov.sg/job/sales/inside-sales-executive-recruit-expert-6193b07baabae403fcce1d3d70752eac" TargetMode="External" Id="rId14" /><Relationship Type="http://schemas.openxmlformats.org/officeDocument/2006/relationships/hyperlink" Target="https://www.mycareersfuture.gov.sg/job/education-training/%F0%9F%9A%80sales-development-trainee%F0%9F%9A%80-strike-talents-e4964ad2c709b410e9edb1fb1336a74f" TargetMode="External" Id="rId15" /><Relationship Type="http://schemas.openxmlformats.org/officeDocument/2006/relationships/hyperlink" Target="https://www.mycareersfuture.gov.sg/job/education-training/%F0%9F%9A%80sales-development-trainee%F0%9F%9A%80-strike-talents-e4964ad2c709b410e9edb1fb1336a74f" TargetMode="External" Id="rId16" /><Relationship Type="http://schemas.openxmlformats.org/officeDocument/2006/relationships/hyperlink" Target="https://sg.jobstreet.com/job/95442937" TargetMode="External" Id="rId17" /><Relationship Type="http://schemas.openxmlformats.org/officeDocument/2006/relationships/hyperlink" Target="https://sg.jobstreet.com/job/95442937" TargetMode="External" Id="rId18" /><Relationship Type="http://schemas.openxmlformats.org/officeDocument/2006/relationships/hyperlink" Target="https://sg.jobstreet.com/job/95443056" TargetMode="External" Id="rId19" /><Relationship Type="http://schemas.openxmlformats.org/officeDocument/2006/relationships/hyperlink" Target="https://sg.jobstreet.com/job/95443056" TargetMode="External" Id="rId20" /><Relationship Type="http://schemas.openxmlformats.org/officeDocument/2006/relationships/hyperlink" Target="https://sg.linkedin.com/jobs/view/inside-sales-associate-apac-at-fs-isac-4480077523" TargetMode="External" Id="rId21" /><Relationship Type="http://schemas.openxmlformats.org/officeDocument/2006/relationships/hyperlink" Target="https://sg.linkedin.com/jobs/view/inside-sales-associate-apac-at-fs-isac-4480077523" TargetMode="External" Id="rId22" /><Relationship Type="http://schemas.openxmlformats.org/officeDocument/2006/relationships/hyperlink" Target="https://sg.linkedin.com/jobs/view/sales-development-representative-at-lionsbot-international-4482477126" TargetMode="External" Id="rId23" /><Relationship Type="http://schemas.openxmlformats.org/officeDocument/2006/relationships/hyperlink" Target="https://sg.linkedin.com/jobs/view/sales-development-representative-at-lionsbot-international-4482477126" TargetMode="External" Id="rId24" /><Relationship Type="http://schemas.openxmlformats.org/officeDocument/2006/relationships/hyperlink" Target="https://sg.linkedin.com/jobs/view/sales-development-representative-japanese-speaker-at-alphasense-4482471108" TargetMode="External" Id="rId25" /><Relationship Type="http://schemas.openxmlformats.org/officeDocument/2006/relationships/hyperlink" Target="https://sg.linkedin.com/jobs/view/sales-development-representative-japanese-speaker-at-alphasense-4482471108" TargetMode="External" Id="rId26" /><Relationship Type="http://schemas.openxmlformats.org/officeDocument/2006/relationships/hyperlink" Target="https://sg.linkedin.com/jobs/view/sales-development-representative-singapore-at-rubrik-4465655126" TargetMode="External" Id="rId27" /><Relationship Type="http://schemas.openxmlformats.org/officeDocument/2006/relationships/hyperlink" Target="https://sg.linkedin.com/jobs/view/sales-development-representative-singapore-at-rubrik-4465655126" TargetMode="External" Id="rId28" /><Relationship Type="http://schemas.openxmlformats.org/officeDocument/2006/relationships/hyperlink" Target="https://sg.jobstreet.com/job/95445522" TargetMode="External" Id="rId29" /><Relationship Type="http://schemas.openxmlformats.org/officeDocument/2006/relationships/hyperlink" Target="https://sg.jobstreet.com/job/95445522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9" customWidth="1" min="4" max="4"/>
    <col width="46" customWidth="1" min="5" max="5"/>
    <col width="30" customWidth="1" min="6" max="6"/>
    <col width="12" customWidth="1" min="7" max="7"/>
    <col width="12" customWidth="1" min="8" max="8"/>
    <col width="22" customWidth="1" min="9" max="9"/>
    <col width="16" customWidth="1" min="10" max="10"/>
    <col width="12" customWidth="1" min="11" max="11"/>
    <col width="18" customWidth="1" min="12" max="12"/>
    <col width="15" customWidth="1" min="13" max="13"/>
    <col width="11" customWidth="1" min="14" max="14"/>
    <col width="48" customWidth="1" min="15" max="15"/>
    <col width="40" customWidth="1" min="16" max="16"/>
    <col width="40" customWidth="1" min="17" max="17"/>
    <col width="14" customWidth="1" min="18" max="18"/>
    <col width="30" customWidth="1" min="19" max="19"/>
  </cols>
  <sheetData>
    <row r="1" ht="30" customHeight="1">
      <c r="A1" s="1" t="inlineStr">
        <is>
          <t>Tier</t>
        </is>
      </c>
      <c r="B1" s="1" t="inlineStr">
        <is>
          <t>Requirements met</t>
        </is>
      </c>
      <c r="C1" s="1" t="inlineStr">
        <is>
          <t>Score %</t>
        </is>
      </c>
      <c r="D1" s="1" t="inlineStr">
        <is>
          <t>AI score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Salary min (SGD/mo)</t>
        </is>
      </c>
      <c r="H1" s="1" t="inlineStr">
        <is>
          <t>Salary max (SGD/mo)</t>
        </is>
      </c>
      <c r="I1" s="1" t="inlineStr">
        <is>
          <t>Salary as posted</t>
        </is>
      </c>
      <c r="J1" s="1" t="inlineStr">
        <is>
          <t>Level</t>
        </is>
      </c>
      <c r="K1" s="1" t="inlineStr">
        <is>
          <t>Arrangement</t>
        </is>
      </c>
      <c r="L1" s="1" t="inlineStr">
        <is>
          <t>Employment type</t>
        </is>
      </c>
      <c r="M1" s="1" t="inlineStr">
        <is>
          <t>Source</t>
        </is>
      </c>
      <c r="N1" s="1" t="inlineStr">
        <is>
          <t>Posted</t>
        </is>
      </c>
      <c r="O1" s="1" t="inlineStr">
        <is>
          <t>Gaps (requirements not met)</t>
        </is>
      </c>
      <c r="P1" s="1" t="inlineStr">
        <is>
          <t>AI note</t>
        </is>
      </c>
      <c r="Q1" s="1" t="inlineStr">
        <is>
          <t>Link</t>
        </is>
      </c>
      <c r="R1" s="1" t="inlineStr">
        <is>
          <t>Status</t>
        </is>
      </c>
      <c r="S1" s="1" t="inlineStr">
        <is>
          <t>Notes</t>
        </is>
      </c>
    </row>
    <row r="2">
      <c r="A2" s="2" t="inlineStr">
        <is>
          <t>A</t>
        </is>
      </c>
      <c r="B2" s="3" t="inlineStr">
        <is>
          <t>11 of 12</t>
        </is>
      </c>
      <c r="C2" s="4" t="n">
        <v>0.9329999999999999</v>
      </c>
      <c r="D2" s="3" t="n"/>
      <c r="E2" s="5" t="inlineStr">
        <is>
          <t>Sales Development Representative, Mid Market I Singapore</t>
        </is>
      </c>
      <c r="F2" s="3" t="inlineStr">
        <is>
          <t>Deel</t>
        </is>
      </c>
      <c r="G2" s="6" t="n"/>
      <c r="H2" s="6" t="n"/>
      <c r="I2" s="3" t="inlineStr">
        <is>
          <t>not stated</t>
        </is>
      </c>
      <c r="J2" s="3" t="inlineStr">
        <is>
          <t>executive</t>
        </is>
      </c>
      <c r="K2" s="3" t="inlineStr">
        <is>
          <t>remote</t>
        </is>
      </c>
      <c r="L2" s="3" t="inlineStr">
        <is>
          <t>Full-time</t>
        </is>
      </c>
      <c r="M2" s="3" t="inlineStr">
        <is>
          <t>LinkedIn</t>
        </is>
      </c>
      <c r="N2" s="7" t="n">
        <v>46317</v>
      </c>
      <c r="O2" s="8" t="inlineStr">
        <is>
          <t>Base salary can reach SGD 4,000 / month</t>
        </is>
      </c>
      <c r="P2" s="8" t="inlineStr"/>
      <c r="Q2" s="9" t="inlineStr">
        <is>
          <t>https://sg.linkedin.com/jobs/view/sales-development-representative-mid-market-i-singapore-at-deel-4472923310</t>
        </is>
      </c>
      <c r="R2" s="3" t="inlineStr">
        <is>
          <t>To review</t>
        </is>
      </c>
      <c r="S2" s="8" t="inlineStr"/>
    </row>
    <row r="3">
      <c r="A3" s="2" t="inlineStr">
        <is>
          <t>A</t>
        </is>
      </c>
      <c r="B3" s="3" t="inlineStr">
        <is>
          <t>11 of 12</t>
        </is>
      </c>
      <c r="C3" s="4" t="n">
        <v>0.8</v>
      </c>
      <c r="D3" s="3" t="n"/>
      <c r="E3" s="5" t="inlineStr">
        <is>
          <t>Regional Inside Sales Executive (Agrochemical) - LCYL</t>
        </is>
      </c>
      <c r="F3" s="3" t="inlineStr">
        <is>
          <t>THE SUPREME HR ADVISORY PTE. LTD.</t>
        </is>
      </c>
      <c r="G3" s="6" t="n">
        <v>3000</v>
      </c>
      <c r="H3" s="6" t="n">
        <v>4500</v>
      </c>
      <c r="I3" s="3" t="inlineStr">
        <is>
          <t>SGD 3,000-4,500/mo</t>
        </is>
      </c>
      <c r="J3" s="3" t="inlineStr">
        <is>
          <t>executive</t>
        </is>
      </c>
      <c r="K3" s="3" t="inlineStr"/>
      <c r="L3" s="3" t="inlineStr">
        <is>
          <t>Permanent, Full Time</t>
        </is>
      </c>
      <c r="M3" s="3" t="inlineStr">
        <is>
          <t>MyCareersFuture</t>
        </is>
      </c>
      <c r="N3" s="7" t="n">
        <v>46317</v>
      </c>
      <c r="O3" s="8" t="inlineStr">
        <is>
          <t>Fintech / payments / SME / merchant domain</t>
        </is>
      </c>
      <c r="P3" s="8" t="inlineStr"/>
      <c r="Q3" s="9" t="inlineStr">
        <is>
          <t>https://www.mycareersfuture.gov.sg/job/sales/regional-inside-sales-executive-lcyl-supreme-hr-advisory-f3be489b3827411fb2f29d9b047ac8fe</t>
        </is>
      </c>
      <c r="R3" s="3" t="inlineStr">
        <is>
          <t>To review</t>
        </is>
      </c>
      <c r="S3" s="8" t="inlineStr"/>
    </row>
    <row r="4">
      <c r="A4" s="10" t="inlineStr">
        <is>
          <t>B</t>
        </is>
      </c>
      <c r="B4" s="3" t="inlineStr">
        <is>
          <t>10 of 12</t>
        </is>
      </c>
      <c r="C4" s="4" t="n">
        <v>0.667</v>
      </c>
      <c r="D4" s="3" t="n"/>
      <c r="E4" s="5" t="inlineStr">
        <is>
          <t>Business Development Associate</t>
        </is>
      </c>
      <c r="F4" s="3" t="inlineStr">
        <is>
          <t>ROYAL ORG PTE. LTD.</t>
        </is>
      </c>
      <c r="G4" s="6" t="n">
        <v>3000</v>
      </c>
      <c r="H4" s="6" t="n">
        <v>4800</v>
      </c>
      <c r="I4" s="3" t="inlineStr">
        <is>
          <t>SGD 3,000-4,800/mo</t>
        </is>
      </c>
      <c r="J4" s="3" t="inlineStr">
        <is>
          <t>fresh</t>
        </is>
      </c>
      <c r="K4" s="3" t="inlineStr"/>
      <c r="L4" s="3" t="inlineStr">
        <is>
          <t>Part Time, Full Time</t>
        </is>
      </c>
      <c r="M4" s="3" t="inlineStr">
        <is>
          <t>MyCareersFuture</t>
        </is>
      </c>
      <c r="N4" s="7" t="n">
        <v>46318</v>
      </c>
      <c r="O4" s="8" t="inlineStr">
        <is>
          <t>Fintech / payments / SME / merchant domain, Commission / incentives on top of base</t>
        </is>
      </c>
      <c r="P4" s="8" t="inlineStr"/>
      <c r="Q4" s="9" t="inlineStr">
        <is>
          <t>https://www.mycareersfuture.gov.sg/job/customer-service/business-development-associate-royal-org-bce03ba0f551567a117bf2a2f172db83</t>
        </is>
      </c>
      <c r="R4" s="3" t="inlineStr">
        <is>
          <t>To review</t>
        </is>
      </c>
      <c r="S4" s="8" t="inlineStr"/>
    </row>
    <row r="5">
      <c r="A5" s="10" t="inlineStr">
        <is>
          <t>B</t>
        </is>
      </c>
      <c r="B5" s="3" t="inlineStr">
        <is>
          <t>10 of 12</t>
        </is>
      </c>
      <c r="C5" s="4" t="n">
        <v>0.667</v>
      </c>
      <c r="D5" s="3" t="n"/>
      <c r="E5" s="5" t="inlineStr">
        <is>
          <t>Inside Sales Associate - APAC</t>
        </is>
      </c>
      <c r="F5" s="3" t="inlineStr">
        <is>
          <t>FS-ISAC ASIA-PACIFIC PTE. LTD.</t>
        </is>
      </c>
      <c r="G5" s="6" t="n">
        <v>4500</v>
      </c>
      <c r="H5" s="6" t="n">
        <v>5800</v>
      </c>
      <c r="I5" s="3" t="inlineStr">
        <is>
          <t>SGD 4,500-5,800/mo</t>
        </is>
      </c>
      <c r="J5" s="3" t="inlineStr">
        <is>
          <t>executive</t>
        </is>
      </c>
      <c r="K5" s="3" t="inlineStr">
        <is>
          <t>hybrid</t>
        </is>
      </c>
      <c r="L5" s="3" t="inlineStr">
        <is>
          <t>Full Time</t>
        </is>
      </c>
      <c r="M5" s="3" t="inlineStr">
        <is>
          <t>MyCareersFuture</t>
        </is>
      </c>
      <c r="N5" s="7" t="n">
        <v>46318</v>
      </c>
      <c r="O5" s="8" t="inlineStr">
        <is>
          <t>Fintech / payments / SME / merchant domain, Commission / incentives on top of base</t>
        </is>
      </c>
      <c r="P5" s="8" t="inlineStr"/>
      <c r="Q5" s="9" t="inlineStr">
        <is>
          <t>https://www.mycareersfuture.gov.sg/job/banking-finance/inside-sales-associate-apac-fs-isac-asia-pacific-f2777481e5144eb543ca7b43a4989636</t>
        </is>
      </c>
      <c r="R5" s="3" t="inlineStr">
        <is>
          <t>To review</t>
        </is>
      </c>
      <c r="S5" s="8" t="inlineStr"/>
    </row>
    <row r="6">
      <c r="A6" s="10" t="inlineStr">
        <is>
          <t>B</t>
        </is>
      </c>
      <c r="B6" s="3" t="inlineStr">
        <is>
          <t>10 of 12</t>
        </is>
      </c>
      <c r="C6" s="4" t="n">
        <v>0.667</v>
      </c>
      <c r="D6" s="3" t="n"/>
      <c r="E6" s="5" t="inlineStr">
        <is>
          <t>Business Development Associate (Career Opportunities)</t>
        </is>
      </c>
      <c r="F6" s="3" t="inlineStr">
        <is>
          <t>SIMPLE RECRUIT</t>
        </is>
      </c>
      <c r="G6" s="6" t="n">
        <v>3200</v>
      </c>
      <c r="H6" s="6" t="n">
        <v>4800</v>
      </c>
      <c r="I6" s="3" t="inlineStr">
        <is>
          <t>SGD 3,200-4,800/mo</t>
        </is>
      </c>
      <c r="J6" s="3" t="inlineStr">
        <is>
          <t>fresh</t>
        </is>
      </c>
      <c r="K6" s="3" t="inlineStr"/>
      <c r="L6" s="3" t="inlineStr">
        <is>
          <t>Full Time</t>
        </is>
      </c>
      <c r="M6" s="3" t="inlineStr">
        <is>
          <t>MyCareersFuture</t>
        </is>
      </c>
      <c r="N6" s="7" t="n">
        <v>46317</v>
      </c>
      <c r="O6" s="8" t="inlineStr">
        <is>
          <t>Fintech / payments / SME / merchant domain, Commission / incentives on top of base</t>
        </is>
      </c>
      <c r="P6" s="8" t="inlineStr"/>
      <c r="Q6" s="9" t="inlineStr">
        <is>
          <t>https://www.mycareersfuture.gov.sg/job/events/business-development-associate-simple-recruit-adcbaca84077a02d0cd070a5f6e012d5</t>
        </is>
      </c>
      <c r="R6" s="3" t="inlineStr">
        <is>
          <t>To review</t>
        </is>
      </c>
      <c r="S6" s="8" t="inlineStr"/>
    </row>
    <row r="7">
      <c r="A7" s="10" t="inlineStr">
        <is>
          <t>B</t>
        </is>
      </c>
      <c r="B7" s="3" t="inlineStr">
        <is>
          <t>10 of 12</t>
        </is>
      </c>
      <c r="C7" s="4" t="n">
        <v>0.667</v>
      </c>
      <c r="D7" s="3" t="n"/>
      <c r="E7" s="5" t="inlineStr">
        <is>
          <t>Business Development Representative, Vietnam Market</t>
        </is>
      </c>
      <c r="F7" s="3" t="inlineStr">
        <is>
          <t>SALESFORCE.COM SINGAPORE PTE. LTD.</t>
        </is>
      </c>
      <c r="G7" s="6" t="n">
        <v>5000</v>
      </c>
      <c r="H7" s="6" t="n">
        <v>9999</v>
      </c>
      <c r="I7" s="3" t="inlineStr">
        <is>
          <t>SGD 5,000-9,999/mo</t>
        </is>
      </c>
      <c r="J7" s="3" t="inlineStr">
        <is>
          <t>junior executive</t>
        </is>
      </c>
      <c r="K7" s="3" t="inlineStr"/>
      <c r="L7" s="3" t="inlineStr">
        <is>
          <t>Permanent, Full Time</t>
        </is>
      </c>
      <c r="M7" s="3" t="inlineStr">
        <is>
          <t>MyCareersFuture</t>
        </is>
      </c>
      <c r="N7" s="7" t="n">
        <v>46317</v>
      </c>
      <c r="O7" s="8" t="inlineStr">
        <is>
          <t>Fintech / payments / SME / merchant domain, Commission / incentives on top of base</t>
        </is>
      </c>
      <c r="P7" s="8" t="inlineStr"/>
      <c r="Q7" s="9" t="inlineStr">
        <is>
          <t>https://www.mycareersfuture.gov.sg/job/sales/business-development-representative-vietnam-market-salesforcecom-singapore-8f2df141313fcb8f3f09fadcd26b89bc</t>
        </is>
      </c>
      <c r="R7" s="3" t="inlineStr">
        <is>
          <t>To review</t>
        </is>
      </c>
      <c r="S7" s="8" t="inlineStr"/>
    </row>
    <row r="8">
      <c r="A8" s="10" t="inlineStr">
        <is>
          <t>B</t>
        </is>
      </c>
      <c r="B8" s="3" t="inlineStr">
        <is>
          <t>10 of 12</t>
        </is>
      </c>
      <c r="C8" s="4" t="n">
        <v>0.667</v>
      </c>
      <c r="D8" s="3" t="n"/>
      <c r="E8" s="5" t="inlineStr">
        <is>
          <t>Inside Sales Executive (Automotive Parts, Up to $4,500)</t>
        </is>
      </c>
      <c r="F8" s="3" t="inlineStr">
        <is>
          <t>RECRUIT EXPERT PTE. LTD.</t>
        </is>
      </c>
      <c r="G8" s="6" t="n">
        <v>3500</v>
      </c>
      <c r="H8" s="6" t="n">
        <v>4500</v>
      </c>
      <c r="I8" s="3" t="inlineStr">
        <is>
          <t>SGD 3,500-4,500/mo</t>
        </is>
      </c>
      <c r="J8" s="3" t="inlineStr">
        <is>
          <t>executive</t>
        </is>
      </c>
      <c r="K8" s="3" t="inlineStr"/>
      <c r="L8" s="3" t="inlineStr">
        <is>
          <t>Permanent</t>
        </is>
      </c>
      <c r="M8" s="3" t="inlineStr">
        <is>
          <t>MyCareersFuture</t>
        </is>
      </c>
      <c r="N8" s="7" t="n">
        <v>46317</v>
      </c>
      <c r="O8" s="8" t="inlineStr">
        <is>
          <t>Fintech / payments / SME / merchant domain, Commission / incentives on top of base</t>
        </is>
      </c>
      <c r="P8" s="8" t="inlineStr"/>
      <c r="Q8" s="9" t="inlineStr">
        <is>
          <t>https://www.mycareersfuture.gov.sg/job/sales/inside-sales-executive-recruit-expert-6193b07baabae403fcce1d3d70752eac</t>
        </is>
      </c>
      <c r="R8" s="3" t="inlineStr">
        <is>
          <t>To review</t>
        </is>
      </c>
      <c r="S8" s="8" t="inlineStr"/>
    </row>
    <row r="9">
      <c r="A9" s="10" t="inlineStr">
        <is>
          <t>B</t>
        </is>
      </c>
      <c r="B9" s="3" t="inlineStr">
        <is>
          <t>9 of 12</t>
        </is>
      </c>
      <c r="C9" s="4" t="n">
        <v>0.6</v>
      </c>
      <c r="D9" s="3" t="n"/>
      <c r="E9" s="5" t="inlineStr">
        <is>
          <t>🚀Sales Development Trainee🚀</t>
        </is>
      </c>
      <c r="F9" s="3" t="inlineStr">
        <is>
          <t>STRIKE TALENTS PTE. LTD.</t>
        </is>
      </c>
      <c r="G9" s="6" t="n">
        <v>2900</v>
      </c>
      <c r="H9" s="6" t="n">
        <v>4600</v>
      </c>
      <c r="I9" s="3" t="inlineStr">
        <is>
          <t>SGD 2,900-4,600/mo</t>
        </is>
      </c>
      <c r="J9" s="3" t="inlineStr">
        <is>
          <t>Fresh/entry level</t>
        </is>
      </c>
      <c r="K9" s="3" t="inlineStr"/>
      <c r="L9" s="3" t="inlineStr">
        <is>
          <t>Full Time</t>
        </is>
      </c>
      <c r="M9" s="3" t="inlineStr">
        <is>
          <t>MyCareersFuture</t>
        </is>
      </c>
      <c r="N9" s="7" t="n">
        <v>46318</v>
      </c>
      <c r="O9" s="8" t="inlineStr">
        <is>
          <t>Fintech / payments / SME / merchant domain, Commission / incentives on top of base, Entry to senior executive level (not manager)</t>
        </is>
      </c>
      <c r="P9" s="8" t="inlineStr"/>
      <c r="Q9" s="9" t="inlineStr">
        <is>
          <t>https://www.mycareersfuture.gov.sg/job/education-training/%F0%9F%9A%80sales-development-trainee%F0%9F%9A%80-strike-talents-e4964ad2c709b410e9edb1fb1336a74f</t>
        </is>
      </c>
      <c r="R9" s="3" t="inlineStr">
        <is>
          <t>To review</t>
        </is>
      </c>
      <c r="S9" s="8" t="inlineStr"/>
    </row>
    <row r="10">
      <c r="A10" s="10" t="inlineStr">
        <is>
          <t>B</t>
        </is>
      </c>
      <c r="B10" s="3" t="inlineStr">
        <is>
          <t>9 of 12</t>
        </is>
      </c>
      <c r="C10" s="4" t="n">
        <v>0.6</v>
      </c>
      <c r="D10" s="3" t="n"/>
      <c r="E10" s="5" t="inlineStr">
        <is>
          <t>Sales Development Representative, Japanese-speakerNew</t>
        </is>
      </c>
      <c r="F10" s="3" t="inlineStr">
        <is>
          <t>Alphasense</t>
        </is>
      </c>
      <c r="G10" s="6" t="n"/>
      <c r="H10" s="6" t="n"/>
      <c r="I10" s="3" t="inlineStr">
        <is>
          <t>not stated</t>
        </is>
      </c>
      <c r="J10" s="3" t="inlineStr">
        <is>
          <t>executive</t>
        </is>
      </c>
      <c r="K10" s="3" t="inlineStr">
        <is>
          <t>on-site</t>
        </is>
      </c>
      <c r="L10" s="3" t="inlineStr">
        <is>
          <t>Full time</t>
        </is>
      </c>
      <c r="M10" s="3" t="inlineStr">
        <is>
          <t>JobStreet</t>
        </is>
      </c>
      <c r="N10" s="7" t="n">
        <v>46317</v>
      </c>
      <c r="O10" s="8" t="inlineStr">
        <is>
          <t>Fintech / payments / SME / merchant domain, Base salary can reach SGD 4,000 / month, Commission / incentives on top of base</t>
        </is>
      </c>
      <c r="P10" s="8" t="inlineStr"/>
      <c r="Q10" s="9" t="inlineStr">
        <is>
          <t>https://sg.jobstreet.com/job/95442937</t>
        </is>
      </c>
      <c r="R10" s="3" t="inlineStr">
        <is>
          <t>To review</t>
        </is>
      </c>
      <c r="S10" s="8" t="inlineStr"/>
    </row>
    <row r="11">
      <c r="A11" s="10" t="inlineStr">
        <is>
          <t>B</t>
        </is>
      </c>
      <c r="B11" s="3" t="inlineStr">
        <is>
          <t>9 of 12</t>
        </is>
      </c>
      <c r="C11" s="4" t="n">
        <v>0.6</v>
      </c>
      <c r="D11" s="3" t="n"/>
      <c r="E11" s="5" t="inlineStr">
        <is>
          <t>Business Development Representative, Vietnam Market</t>
        </is>
      </c>
      <c r="F11" s="3" t="inlineStr">
        <is>
          <t>Salesforce.com</t>
        </is>
      </c>
      <c r="G11" s="6" t="n"/>
      <c r="H11" s="6" t="n"/>
      <c r="I11" s="3" t="inlineStr">
        <is>
          <t>not stated</t>
        </is>
      </c>
      <c r="J11" s="3" t="inlineStr">
        <is>
          <t>executive</t>
        </is>
      </c>
      <c r="K11" s="3" t="inlineStr">
        <is>
          <t>on-site</t>
        </is>
      </c>
      <c r="L11" s="3" t="inlineStr">
        <is>
          <t>Full time</t>
        </is>
      </c>
      <c r="M11" s="3" t="inlineStr">
        <is>
          <t>JobStreet</t>
        </is>
      </c>
      <c r="N11" s="7" t="n">
        <v>46317</v>
      </c>
      <c r="O11" s="8" t="inlineStr">
        <is>
          <t>Fintech / payments / SME / merchant domain, Base salary can reach SGD 4,000 / month, Commission / incentives on top of base</t>
        </is>
      </c>
      <c r="P11" s="8" t="inlineStr"/>
      <c r="Q11" s="9" t="inlineStr">
        <is>
          <t>https://sg.jobstreet.com/job/95443056</t>
        </is>
      </c>
      <c r="R11" s="3" t="inlineStr">
        <is>
          <t>To review</t>
        </is>
      </c>
      <c r="S11" s="8" t="inlineStr"/>
    </row>
    <row r="12">
      <c r="A12" s="10" t="inlineStr">
        <is>
          <t>B</t>
        </is>
      </c>
      <c r="B12" s="3" t="inlineStr">
        <is>
          <t>9 of 12</t>
        </is>
      </c>
      <c r="C12" s="4" t="n">
        <v>0.6</v>
      </c>
      <c r="D12" s="3" t="n"/>
      <c r="E12" s="5" t="inlineStr">
        <is>
          <t>Inside Sales Associate - APAC</t>
        </is>
      </c>
      <c r="F12" s="3" t="inlineStr">
        <is>
          <t>FS-ISAC</t>
        </is>
      </c>
      <c r="G12" s="6" t="n"/>
      <c r="H12" s="6" t="n"/>
      <c r="I12" s="3" t="inlineStr">
        <is>
          <t>not stated</t>
        </is>
      </c>
      <c r="J12" s="3" t="inlineStr">
        <is>
          <t>executive</t>
        </is>
      </c>
      <c r="K12" s="3" t="inlineStr">
        <is>
          <t>hybrid</t>
        </is>
      </c>
      <c r="L12" s="3" t="inlineStr">
        <is>
          <t>Full-time</t>
        </is>
      </c>
      <c r="M12" s="3" t="inlineStr">
        <is>
          <t>LinkedIn</t>
        </is>
      </c>
      <c r="N12" s="7" t="n">
        <v>46317</v>
      </c>
      <c r="O12" s="8" t="inlineStr">
        <is>
          <t>Fintech / payments / SME / merchant domain, Base salary can reach SGD 4,000 / month, Commission / incentives on top of base</t>
        </is>
      </c>
      <c r="P12" s="8" t="inlineStr"/>
      <c r="Q12" s="9" t="inlineStr">
        <is>
          <t>https://sg.linkedin.com/jobs/view/inside-sales-associate-apac-at-fs-isac-4480077523</t>
        </is>
      </c>
      <c r="R12" s="3" t="inlineStr">
        <is>
          <t>To review</t>
        </is>
      </c>
      <c r="S12" s="8" t="inlineStr"/>
    </row>
    <row r="13">
      <c r="A13" s="10" t="inlineStr">
        <is>
          <t>B</t>
        </is>
      </c>
      <c r="B13" s="3" t="inlineStr">
        <is>
          <t>9 of 12</t>
        </is>
      </c>
      <c r="C13" s="4" t="n">
        <v>0.6</v>
      </c>
      <c r="D13" s="3" t="n"/>
      <c r="E13" s="5" t="inlineStr">
        <is>
          <t>Sales Development Representative</t>
        </is>
      </c>
      <c r="F13" s="3" t="inlineStr">
        <is>
          <t>LionsBot International</t>
        </is>
      </c>
      <c r="G13" s="6" t="n"/>
      <c r="H13" s="6" t="n"/>
      <c r="I13" s="3" t="inlineStr">
        <is>
          <t>not stated</t>
        </is>
      </c>
      <c r="J13" s="3" t="inlineStr">
        <is>
          <t>executive</t>
        </is>
      </c>
      <c r="K13" s="3" t="inlineStr"/>
      <c r="L13" s="3" t="inlineStr">
        <is>
          <t>Full-time</t>
        </is>
      </c>
      <c r="M13" s="3" t="inlineStr">
        <is>
          <t>LinkedIn</t>
        </is>
      </c>
      <c r="N13" s="7" t="n">
        <v>46317</v>
      </c>
      <c r="O13" s="8" t="inlineStr">
        <is>
          <t>Fintech / payments / SME / merchant domain, Base salary can reach SGD 4,000 / month, Commission / incentives on top of base</t>
        </is>
      </c>
      <c r="P13" s="8" t="inlineStr"/>
      <c r="Q13" s="9" t="inlineStr">
        <is>
          <t>https://sg.linkedin.com/jobs/view/sales-development-representative-at-lionsbot-international-4482477126</t>
        </is>
      </c>
      <c r="R13" s="3" t="inlineStr">
        <is>
          <t>To review</t>
        </is>
      </c>
      <c r="S13" s="8" t="inlineStr"/>
    </row>
    <row r="14">
      <c r="A14" s="10" t="inlineStr">
        <is>
          <t>B</t>
        </is>
      </c>
      <c r="B14" s="3" t="inlineStr">
        <is>
          <t>9 of 12</t>
        </is>
      </c>
      <c r="C14" s="4" t="n">
        <v>0.6</v>
      </c>
      <c r="D14" s="3" t="n"/>
      <c r="E14" s="5" t="inlineStr">
        <is>
          <t>Sales Development Representative, Japanese-speaker</t>
        </is>
      </c>
      <c r="F14" s="3" t="inlineStr">
        <is>
          <t>AlphaSense</t>
        </is>
      </c>
      <c r="G14" s="6" t="n"/>
      <c r="H14" s="6" t="n"/>
      <c r="I14" s="3" t="inlineStr">
        <is>
          <t>not stated</t>
        </is>
      </c>
      <c r="J14" s="3" t="inlineStr">
        <is>
          <t>executive</t>
        </is>
      </c>
      <c r="K14" s="3" t="inlineStr"/>
      <c r="L14" s="3" t="inlineStr">
        <is>
          <t>Full-time</t>
        </is>
      </c>
      <c r="M14" s="3" t="inlineStr">
        <is>
          <t>LinkedIn</t>
        </is>
      </c>
      <c r="N14" s="7" t="n">
        <v>46317</v>
      </c>
      <c r="O14" s="8" t="inlineStr">
        <is>
          <t>Fintech / payments / SME / merchant domain, Base salary can reach SGD 4,000 / month, Commission / incentives on top of base</t>
        </is>
      </c>
      <c r="P14" s="8" t="inlineStr"/>
      <c r="Q14" s="9" t="inlineStr">
        <is>
          <t>https://sg.linkedin.com/jobs/view/sales-development-representative-japanese-speaker-at-alphasense-4482471108</t>
        </is>
      </c>
      <c r="R14" s="3" t="inlineStr">
        <is>
          <t>To review</t>
        </is>
      </c>
      <c r="S14" s="8" t="inlineStr"/>
    </row>
    <row r="15">
      <c r="A15" s="10" t="inlineStr">
        <is>
          <t>B</t>
        </is>
      </c>
      <c r="B15" s="3" t="inlineStr">
        <is>
          <t>9 of 12</t>
        </is>
      </c>
      <c r="C15" s="4" t="n">
        <v>0.6</v>
      </c>
      <c r="D15" s="3" t="n"/>
      <c r="E15" s="5" t="inlineStr">
        <is>
          <t>Sales Development Representative, Singapore</t>
        </is>
      </c>
      <c r="F15" s="3" t="inlineStr">
        <is>
          <t>Rubrik</t>
        </is>
      </c>
      <c r="G15" s="6" t="n"/>
      <c r="H15" s="6" t="n"/>
      <c r="I15" s="3" t="inlineStr">
        <is>
          <t>not stated</t>
        </is>
      </c>
      <c r="J15" s="3" t="inlineStr">
        <is>
          <t>executive</t>
        </is>
      </c>
      <c r="K15" s="3" t="inlineStr">
        <is>
          <t>on-site</t>
        </is>
      </c>
      <c r="L15" s="3" t="inlineStr">
        <is>
          <t>Full-time</t>
        </is>
      </c>
      <c r="M15" s="3" t="inlineStr">
        <is>
          <t>LinkedIn</t>
        </is>
      </c>
      <c r="N15" s="7" t="n">
        <v>46317</v>
      </c>
      <c r="O15" s="8" t="inlineStr">
        <is>
          <t>Fintech / payments / SME / merchant domain, Base salary can reach SGD 4,000 / month, Commission / incentives on top of base</t>
        </is>
      </c>
      <c r="P15" s="8" t="inlineStr"/>
      <c r="Q15" s="9" t="inlineStr">
        <is>
          <t>https://sg.linkedin.com/jobs/view/sales-development-representative-singapore-at-rubrik-4465655126</t>
        </is>
      </c>
      <c r="R15" s="3" t="inlineStr">
        <is>
          <t>To review</t>
        </is>
      </c>
      <c r="S15" s="8" t="inlineStr"/>
    </row>
    <row r="16">
      <c r="A16" s="11" t="inlineStr">
        <is>
          <t>C</t>
        </is>
      </c>
      <c r="B16" s="3" t="inlineStr">
        <is>
          <t>8 of 12</t>
        </is>
      </c>
      <c r="C16" s="4" t="n">
        <v>0.5329999999999999</v>
      </c>
      <c r="D16" s="3" t="n"/>
      <c r="E16" s="5" t="inlineStr">
        <is>
          <t>Sales Development Trainee</t>
        </is>
      </c>
      <c r="F16" s="3" t="inlineStr">
        <is>
          <t>STRIKE TALENTS PTE. LTD.</t>
        </is>
      </c>
      <c r="G16" s="6" t="n"/>
      <c r="H16" s="6" t="n"/>
      <c r="I16" s="3" t="inlineStr">
        <is>
          <t>not stated</t>
        </is>
      </c>
      <c r="J16" s="3" t="inlineStr">
        <is>
          <t>-</t>
        </is>
      </c>
      <c r="K16" s="3" t="inlineStr">
        <is>
          <t>on-site</t>
        </is>
      </c>
      <c r="L16" s="3" t="inlineStr">
        <is>
          <t>Full time</t>
        </is>
      </c>
      <c r="M16" s="3" t="inlineStr">
        <is>
          <t>JobStreet</t>
        </is>
      </c>
      <c r="N16" s="7" t="n">
        <v>46317</v>
      </c>
      <c r="O16" s="8" t="inlineStr">
        <is>
          <t>Fintech / payments / SME / merchant domain, Base salary can reach SGD 4,000 / month, Commission / incentives on top of base, Entry to senior executive level (not manager)</t>
        </is>
      </c>
      <c r="P16" s="8" t="inlineStr"/>
      <c r="Q16" s="9" t="inlineStr">
        <is>
          <t>https://sg.jobstreet.com/job/95445522</t>
        </is>
      </c>
      <c r="R16" s="3" t="inlineStr">
        <is>
          <t>To review</t>
        </is>
      </c>
      <c r="S16" s="8" t="inlineStr"/>
    </row>
  </sheetData>
  <autoFilter ref="A1:S16"/>
  <dataValidations count="1">
    <dataValidation sqref="R2:R500" showDropDown="0" showInputMessage="0" showErrorMessage="0" allowBlank="1" type="list">
      <formula1>"To review,Shortlisted,Applied,Interviewing,Offer,Rejected,Not interested"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Q2" r:id="rId2"/>
    <hyperlink xmlns:r="http://schemas.openxmlformats.org/officeDocument/2006/relationships" ref="E3" r:id="rId3"/>
    <hyperlink xmlns:r="http://schemas.openxmlformats.org/officeDocument/2006/relationships" ref="Q3" r:id="rId4"/>
    <hyperlink xmlns:r="http://schemas.openxmlformats.org/officeDocument/2006/relationships" ref="E4" r:id="rId5"/>
    <hyperlink xmlns:r="http://schemas.openxmlformats.org/officeDocument/2006/relationships" ref="Q4" r:id="rId6"/>
    <hyperlink xmlns:r="http://schemas.openxmlformats.org/officeDocument/2006/relationships" ref="E5" r:id="rId7"/>
    <hyperlink xmlns:r="http://schemas.openxmlformats.org/officeDocument/2006/relationships" ref="Q5" r:id="rId8"/>
    <hyperlink xmlns:r="http://schemas.openxmlformats.org/officeDocument/2006/relationships" ref="E6" r:id="rId9"/>
    <hyperlink xmlns:r="http://schemas.openxmlformats.org/officeDocument/2006/relationships" ref="Q6" r:id="rId10"/>
    <hyperlink xmlns:r="http://schemas.openxmlformats.org/officeDocument/2006/relationships" ref="E7" r:id="rId11"/>
    <hyperlink xmlns:r="http://schemas.openxmlformats.org/officeDocument/2006/relationships" ref="Q7" r:id="rId12"/>
    <hyperlink xmlns:r="http://schemas.openxmlformats.org/officeDocument/2006/relationships" ref="E8" r:id="rId13"/>
    <hyperlink xmlns:r="http://schemas.openxmlformats.org/officeDocument/2006/relationships" ref="Q8" r:id="rId14"/>
    <hyperlink xmlns:r="http://schemas.openxmlformats.org/officeDocument/2006/relationships" ref="E9" r:id="rId15"/>
    <hyperlink xmlns:r="http://schemas.openxmlformats.org/officeDocument/2006/relationships" ref="Q9" r:id="rId16"/>
    <hyperlink xmlns:r="http://schemas.openxmlformats.org/officeDocument/2006/relationships" ref="E10" r:id="rId17"/>
    <hyperlink xmlns:r="http://schemas.openxmlformats.org/officeDocument/2006/relationships" ref="Q10" r:id="rId18"/>
    <hyperlink xmlns:r="http://schemas.openxmlformats.org/officeDocument/2006/relationships" ref="E11" r:id="rId19"/>
    <hyperlink xmlns:r="http://schemas.openxmlformats.org/officeDocument/2006/relationships" ref="Q11" r:id="rId20"/>
    <hyperlink xmlns:r="http://schemas.openxmlformats.org/officeDocument/2006/relationships" ref="E12" r:id="rId21"/>
    <hyperlink xmlns:r="http://schemas.openxmlformats.org/officeDocument/2006/relationships" ref="Q12" r:id="rId22"/>
    <hyperlink xmlns:r="http://schemas.openxmlformats.org/officeDocument/2006/relationships" ref="E13" r:id="rId23"/>
    <hyperlink xmlns:r="http://schemas.openxmlformats.org/officeDocument/2006/relationships" ref="Q13" r:id="rId24"/>
    <hyperlink xmlns:r="http://schemas.openxmlformats.org/officeDocument/2006/relationships" ref="E14" r:id="rId25"/>
    <hyperlink xmlns:r="http://schemas.openxmlformats.org/officeDocument/2006/relationships" ref="Q14" r:id="rId26"/>
    <hyperlink xmlns:r="http://schemas.openxmlformats.org/officeDocument/2006/relationships" ref="E15" r:id="rId27"/>
    <hyperlink xmlns:r="http://schemas.openxmlformats.org/officeDocument/2006/relationships" ref="Q15" r:id="rId28"/>
    <hyperlink xmlns:r="http://schemas.openxmlformats.org/officeDocument/2006/relationships" ref="E16" r:id="rId29"/>
    <hyperlink xmlns:r="http://schemas.openxmlformats.org/officeDocument/2006/relationships" ref="Q16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2" t="inlineStr">
        <is>
          <t>Job Digest – Fri 23 Oct 2026 (SGT)</t>
        </is>
      </c>
    </row>
    <row r="3">
      <c r="A3" s="13" t="inlineStr">
        <is>
          <t>Tier</t>
        </is>
      </c>
      <c r="B3" s="13" t="inlineStr">
        <is>
          <t>Postings</t>
        </is>
      </c>
      <c r="C3" s="13" t="inlineStr">
        <is>
          <t>Rule</t>
        </is>
      </c>
    </row>
    <row r="4">
      <c r="A4" s="14" t="inlineStr">
        <is>
          <t>A – strong match</t>
        </is>
      </c>
      <c r="B4" s="15">
        <f>COUNTIF(Matches!$A$2:$A$16,"A")</f>
        <v/>
      </c>
      <c r="C4" s="15" t="inlineStr">
        <is>
          <t>Score ≥ 80%</t>
        </is>
      </c>
    </row>
    <row r="5">
      <c r="A5" s="16" t="inlineStr">
        <is>
          <t>B – good match</t>
        </is>
      </c>
      <c r="B5" s="15">
        <f>COUNTIF(Matches!$A$2:$A$16,"B")</f>
        <v/>
      </c>
      <c r="C5" s="15" t="inlineStr">
        <is>
          <t>Score ≥ 60%</t>
        </is>
      </c>
    </row>
    <row r="6">
      <c r="A6" s="17" t="inlineStr">
        <is>
          <t>C – partial match</t>
        </is>
      </c>
      <c r="B6" s="15">
        <f>COUNTIF(Matches!$A$2:$A$16,"C")</f>
        <v/>
      </c>
      <c r="C6" s="15" t="inlineStr">
        <is>
          <t>Score ≥ 40%</t>
        </is>
      </c>
    </row>
    <row r="7">
      <c r="A7" s="13" t="inlineStr">
        <is>
          <t>Total new matches</t>
        </is>
      </c>
      <c r="B7" s="13">
        <f>SUM(B4:B6)</f>
        <v/>
      </c>
      <c r="C7" s="13" t="inlineStr">
        <is>
          <t>Sum of the tiers above</t>
        </is>
      </c>
    </row>
    <row r="9">
      <c r="A9" s="13" t="inlineStr">
        <is>
          <t>Application tracking</t>
        </is>
      </c>
    </row>
    <row r="10">
      <c r="A10" s="15" t="inlineStr">
        <is>
          <t>Applied</t>
        </is>
      </c>
      <c r="B10" s="15">
        <f>COUNTIF(Matches!$R$2:$R$16,"Applied")</f>
        <v/>
      </c>
    </row>
    <row r="11">
      <c r="A11" s="15" t="inlineStr">
        <is>
          <t>Still to review</t>
        </is>
      </c>
      <c r="B11" s="15">
        <f>COUNTIF(Matches!$R$2:$R$16,"To review")</f>
        <v/>
      </c>
    </row>
    <row r="13">
      <c r="A13" s="13" t="inlineStr">
        <is>
          <t>This run (as reported by the search)</t>
        </is>
      </c>
    </row>
    <row r="14">
      <c r="A14" s="15" t="inlineStr">
        <is>
          <t>Postings fetched</t>
        </is>
      </c>
      <c r="B14" s="15" t="n">
        <v>789</v>
      </c>
      <c r="C14" s="15" t="inlineStr">
        <is>
          <t>MyCareersFuture 341, JobStreet 309, LinkedIn 139</t>
        </is>
      </c>
    </row>
    <row r="15">
      <c r="A15" s="15" t="inlineStr">
        <is>
          <t>Duplicates across boards</t>
        </is>
      </c>
      <c r="B15" s="15" t="n">
        <v>342</v>
      </c>
      <c r="C15" s="15" t="inlineStr"/>
    </row>
    <row r="16">
      <c r="A16" s="15" t="inlineStr">
        <is>
          <t>Excluded by must-have rules</t>
        </is>
      </c>
      <c r="B16" s="15" t="n">
        <v>354</v>
      </c>
      <c r="C16" s="15" t="inlineStr">
        <is>
          <t>Wrong title, accounting role, excluded term, location or company</t>
        </is>
      </c>
    </row>
    <row r="17">
      <c r="A17" s="15" t="inlineStr">
        <is>
          <t>Already sent in earlier digests</t>
        </is>
      </c>
      <c r="B17" s="15" t="n">
        <v>78</v>
      </c>
      <c r="C17" s="15" t="inlineStr">
        <is>
          <t>Not repeated</t>
        </is>
      </c>
    </row>
    <row r="19">
      <c r="A19" s="13" t="inlineStr">
        <is>
          <t>How to read the Matches sheet</t>
        </is>
      </c>
    </row>
    <row r="20" ht="30" customHeight="1">
      <c r="A20" s="18" t="inlineStr">
        <is>
          <t>Requirements met counts every requirement equally. Score % is weighted, so the industry requirement (weight 3) counts three times.</t>
        </is>
      </c>
    </row>
    <row r="21" ht="30" customHeight="1">
      <c r="A21" s="18" t="inlineStr">
        <is>
          <t>Salary columns are converted to SGD per month. Blank means the posting does not state a salary.</t>
        </is>
      </c>
    </row>
    <row r="22" ht="30" customHeight="1">
      <c r="A22" s="18" t="inlineStr">
        <is>
          <t>Use the Status column drop-down to track applications; the counts above update automatically.</t>
        </is>
      </c>
    </row>
  </sheetData>
  <mergeCells count="3">
    <mergeCell ref="A20:C20"/>
    <mergeCell ref="A21:C21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2026-10-23T04:20:38Z</dcterms:created>
  <dcterms:modified xsi:type="dcterms:W3CDTF">2026-10-23T04:20:38Z</dcterms:modified>
</cp:coreProperties>
</file>