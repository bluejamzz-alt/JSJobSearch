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careersfuture.gov.sg/job/sales/regional-inside-sales-executive-lcyl-supreme-hr-advisory-f62ee9679fcdbfe70832539af8ea5bd2" TargetMode="External" Id="rId1" /><Relationship Type="http://schemas.openxmlformats.org/officeDocument/2006/relationships/hyperlink" Target="https://www.mycareersfuture.gov.sg/job/sales/regional-inside-sales-executive-lcyl-supreme-hr-advisory-f62ee9679fcdbfe70832539af8ea5bd2" TargetMode="External" Id="rId2" /><Relationship Type="http://schemas.openxmlformats.org/officeDocument/2006/relationships/hyperlink" Target="https://sg.jobstreet.com/job/95312301" TargetMode="External" Id="rId3" /><Relationship Type="http://schemas.openxmlformats.org/officeDocument/2006/relationships/hyperlink" Target="https://sg.jobstreet.com/job/95312301" TargetMode="External" Id="rId4" /><Relationship Type="http://schemas.openxmlformats.org/officeDocument/2006/relationships/hyperlink" Target="https://sg.linkedin.com/jobs/view/sales-development-representative-singapore-at-hud-4484812090" TargetMode="External" Id="rId5" /><Relationship Type="http://schemas.openxmlformats.org/officeDocument/2006/relationships/hyperlink" Target="https://sg.linkedin.com/jobs/view/sales-development-representative-singapore-at-hud-4484812090" TargetMode="External" Id="rId6" /><Relationship Type="http://schemas.openxmlformats.org/officeDocument/2006/relationships/hyperlink" Target="https://sg.jobstreet.com/job/95587270" TargetMode="External" Id="rId7" /><Relationship Type="http://schemas.openxmlformats.org/officeDocument/2006/relationships/hyperlink" Target="https://sg.jobstreet.com/job/95587270" TargetMode="External" Id="rId8" /><Relationship Type="http://schemas.openxmlformats.org/officeDocument/2006/relationships/hyperlink" Target="https://www.mycareersfuture.gov.sg/job/events/business-development-associate-avaron-d354227ef3bf6dd53f6880ccae0a7c43" TargetMode="External" Id="rId9" /><Relationship Type="http://schemas.openxmlformats.org/officeDocument/2006/relationships/hyperlink" Target="https://www.mycareersfuture.gov.sg/job/events/business-development-associate-avaron-d354227ef3bf6dd53f6880ccae0a7c43" TargetMode="External" Id="rId10" /><Relationship Type="http://schemas.openxmlformats.org/officeDocument/2006/relationships/hyperlink" Target="https://www.mycareersfuture.gov.sg/job/events/business-development-associate-simple-recruit-51f2cf2a268fc8594e99b673336bc5ae" TargetMode="External" Id="rId11" /><Relationship Type="http://schemas.openxmlformats.org/officeDocument/2006/relationships/hyperlink" Target="https://www.mycareersfuture.gov.sg/job/events/business-development-associate-simple-recruit-51f2cf2a268fc8594e99b673336bc5ae" TargetMode="External" Id="rId12" /><Relationship Type="http://schemas.openxmlformats.org/officeDocument/2006/relationships/hyperlink" Target="https://www.mycareersfuture.gov.sg/job/marketing/business-development-associate-auryn-marketing-db142b9cf34335987b7b9b8e7bba9f5a" TargetMode="External" Id="rId13" /><Relationship Type="http://schemas.openxmlformats.org/officeDocument/2006/relationships/hyperlink" Target="https://www.mycareersfuture.gov.sg/job/marketing/business-development-associate-auryn-marketing-db142b9cf34335987b7b9b8e7bba9f5a" TargetMode="External" Id="rId14" /><Relationship Type="http://schemas.openxmlformats.org/officeDocument/2006/relationships/hyperlink" Target="https://www.mycareersfuture.gov.sg/job/information-technology/sales-development-representative-stripe-payments-singapore-424391961d145297b09fb632c2b73da8" TargetMode="External" Id="rId15" /><Relationship Type="http://schemas.openxmlformats.org/officeDocument/2006/relationships/hyperlink" Target="https://www.mycareersfuture.gov.sg/job/information-technology/sales-development-representative-stripe-payments-singapore-424391961d145297b09fb632c2b73da8" TargetMode="External" Id="rId16" /><Relationship Type="http://schemas.openxmlformats.org/officeDocument/2006/relationships/hyperlink" Target="https://sg.linkedin.com/jobs/view/inside-sales-specialist-at-concentrix-4422697912" TargetMode="External" Id="rId17" /><Relationship Type="http://schemas.openxmlformats.org/officeDocument/2006/relationships/hyperlink" Target="https://sg.linkedin.com/jobs/view/inside-sales-specialist-at-concentrix-4422697912" TargetMode="External" Id="rId18" /><Relationship Type="http://schemas.openxmlformats.org/officeDocument/2006/relationships/hyperlink" Target="https://sg.linkedin.com/jobs/view/inside-sales-specialist-net-new-sales-at-concentrix-4422906112" TargetMode="External" Id="rId19" /><Relationship Type="http://schemas.openxmlformats.org/officeDocument/2006/relationships/hyperlink" Target="https://sg.linkedin.com/jobs/view/inside-sales-specialist-net-new-sales-at-concentrix-4422906112" TargetMode="External" Id="rId20" /><Relationship Type="http://schemas.openxmlformats.org/officeDocument/2006/relationships/hyperlink" Target="https://sg.jobstreet.com/job/95587560" TargetMode="External" Id="rId21" /><Relationship Type="http://schemas.openxmlformats.org/officeDocument/2006/relationships/hyperlink" Target="https://sg.jobstreet.com/job/95587560" TargetMode="External" Id="rId22" /><Relationship Type="http://schemas.openxmlformats.org/officeDocument/2006/relationships/hyperlink" Target="https://sg.linkedin.com/jobs/view/business-development-representative-apj-at-noma-4484516371" TargetMode="External" Id="rId23" /><Relationship Type="http://schemas.openxmlformats.org/officeDocument/2006/relationships/hyperlink" Target="https://sg.linkedin.com/jobs/view/business-development-representative-apj-at-noma-4484516371" TargetMode="External" Id="rId24" /><Relationship Type="http://schemas.openxmlformats.org/officeDocument/2006/relationships/hyperlink" Target="https://sg.linkedin.com/jobs/view/sales-development-representative-sdr-at-upguard-4483011976" TargetMode="External" Id="rId25" /><Relationship Type="http://schemas.openxmlformats.org/officeDocument/2006/relationships/hyperlink" Target="https://sg.linkedin.com/jobs/view/sales-development-representative-sdr-at-upguard-4483011976" TargetMode="External" Id="rId26" /><Relationship Type="http://schemas.openxmlformats.org/officeDocument/2006/relationships/hyperlink" Target="https://sg.linkedin.com/jobs/view/sales-development-representative-taiwan-market-at-cisco-4404079866" TargetMode="External" Id="rId27" /><Relationship Type="http://schemas.openxmlformats.org/officeDocument/2006/relationships/hyperlink" Target="https://sg.linkedin.com/jobs/view/sales-development-representative-taiwan-market-at-cisco-4404079866" TargetMode="External" Id="rId28" /><Relationship Type="http://schemas.openxmlformats.org/officeDocument/2006/relationships/hyperlink" Target="https://sg.linkedin.com/jobs/view/sales-development-representative-sdr-%E2%80%93-japan-south-korea-singapore-at-biorce-4482524471" TargetMode="External" Id="rId29" /><Relationship Type="http://schemas.openxmlformats.org/officeDocument/2006/relationships/hyperlink" Target="https://sg.linkedin.com/jobs/view/sales-development-representative-sdr-%E2%80%93-japan-south-korea-singapore-at-biorce-4482524471" TargetMode="External" Id="rId30" /><Relationship Type="http://schemas.openxmlformats.org/officeDocument/2006/relationships/hyperlink" Target="https://sg.linkedin.com/jobs/view/senior-business-development-representative-at-playbook-4483519350" TargetMode="External" Id="rId31" /><Relationship Type="http://schemas.openxmlformats.org/officeDocument/2006/relationships/hyperlink" Target="https://sg.linkedin.com/jobs/view/senior-business-development-representative-at-playbook-4483519350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0.8</v>
      </c>
      <c r="D2" s="3" t="n"/>
      <c r="E2" s="5" t="inlineStr">
        <is>
          <t>Regional Inside Sales Executive (Agrochemical) - LCYL</t>
        </is>
      </c>
      <c r="F2" s="3" t="inlineStr">
        <is>
          <t>THE SUPREME HR ADVISORY PTE. LTD.</t>
        </is>
      </c>
      <c r="G2" s="6" t="n">
        <v>3000</v>
      </c>
      <c r="H2" s="6" t="n">
        <v>4500</v>
      </c>
      <c r="I2" s="3" t="inlineStr">
        <is>
          <t>SGD 3,000-4,500/mo</t>
        </is>
      </c>
      <c r="J2" s="3" t="inlineStr">
        <is>
          <t>executive</t>
        </is>
      </c>
      <c r="K2" s="3" t="inlineStr"/>
      <c r="L2" s="3" t="inlineStr">
        <is>
          <t>Permanent, Full Time</t>
        </is>
      </c>
      <c r="M2" s="3" t="inlineStr">
        <is>
          <t>MyCareersFuture</t>
        </is>
      </c>
      <c r="N2" s="7" t="n">
        <v>46324</v>
      </c>
      <c r="O2" s="8" t="inlineStr">
        <is>
          <t>Fintech / payments / SME / merchant domain</t>
        </is>
      </c>
      <c r="P2" s="8" t="inlineStr"/>
      <c r="Q2" s="9" t="inlineStr">
        <is>
          <t>https://www.mycareersfuture.gov.sg/job/sales/regional-inside-sales-executive-lcyl-supreme-hr-advisory-f62ee9679fcdbfe70832539af8ea5bd2</t>
        </is>
      </c>
      <c r="R2" s="3" t="inlineStr">
        <is>
          <t>To review</t>
        </is>
      </c>
      <c r="S2" s="8" t="inlineStr"/>
    </row>
    <row r="3">
      <c r="A3" s="10" t="inlineStr">
        <is>
          <t>B</t>
        </is>
      </c>
      <c r="B3" s="3" t="inlineStr">
        <is>
          <t>10 of 12</t>
        </is>
      </c>
      <c r="C3" s="4" t="n">
        <v>0.733</v>
      </c>
      <c r="D3" s="3" t="n"/>
      <c r="E3" s="5" t="inlineStr">
        <is>
          <t>Representative - Inside Sales</t>
        </is>
      </c>
      <c r="F3" s="3" t="inlineStr">
        <is>
          <t>Anixter Singapore Pte Ltd</t>
        </is>
      </c>
      <c r="G3" s="6" t="n"/>
      <c r="H3" s="6" t="n"/>
      <c r="I3" s="3" t="inlineStr">
        <is>
          <t>not stated</t>
        </is>
      </c>
      <c r="J3" s="3" t="inlineStr">
        <is>
          <t>executive</t>
        </is>
      </c>
      <c r="K3" s="3" t="inlineStr">
        <is>
          <t>hybrid</t>
        </is>
      </c>
      <c r="L3" s="3" t="inlineStr">
        <is>
          <t>Full time</t>
        </is>
      </c>
      <c r="M3" s="3" t="inlineStr">
        <is>
          <t>JobStreet</t>
        </is>
      </c>
      <c r="N3" s="7" t="n">
        <v>46325</v>
      </c>
      <c r="O3" s="8" t="inlineStr">
        <is>
          <t>Fintech / payments / SME / merchant domain, Base salary can reach SGD 4,000 / month</t>
        </is>
      </c>
      <c r="P3" s="8" t="inlineStr"/>
      <c r="Q3" s="9" t="inlineStr">
        <is>
          <t>https://sg.jobstreet.com/job/95312301</t>
        </is>
      </c>
      <c r="R3" s="3" t="inlineStr">
        <is>
          <t>To review</t>
        </is>
      </c>
      <c r="S3" s="8" t="inlineStr"/>
    </row>
    <row r="4">
      <c r="A4" s="10" t="inlineStr">
        <is>
          <t>B</t>
        </is>
      </c>
      <c r="B4" s="3" t="inlineStr">
        <is>
          <t>10 of 12</t>
        </is>
      </c>
      <c r="C4" s="4" t="n">
        <v>0.733</v>
      </c>
      <c r="D4" s="3" t="n"/>
      <c r="E4" s="5" t="inlineStr">
        <is>
          <t>Sales Development Representative - Singapore</t>
        </is>
      </c>
      <c r="F4" s="3" t="inlineStr">
        <is>
          <t>HUD</t>
        </is>
      </c>
      <c r="G4" s="6" t="n"/>
      <c r="H4" s="6" t="n"/>
      <c r="I4" s="3" t="inlineStr">
        <is>
          <t>not stated</t>
        </is>
      </c>
      <c r="J4" s="3" t="inlineStr">
        <is>
          <t>executive</t>
        </is>
      </c>
      <c r="K4" s="3" t="inlineStr">
        <is>
          <t>remote</t>
        </is>
      </c>
      <c r="L4" s="3" t="inlineStr">
        <is>
          <t>Full-time</t>
        </is>
      </c>
      <c r="M4" s="3" t="inlineStr">
        <is>
          <t>LinkedIn</t>
        </is>
      </c>
      <c r="N4" s="7" t="n">
        <v>46325</v>
      </c>
      <c r="O4" s="8" t="inlineStr">
        <is>
          <t>Fintech / payments / SME / merchant domain, Base salary can reach SGD 4,000 / month</t>
        </is>
      </c>
      <c r="P4" s="8" t="inlineStr"/>
      <c r="Q4" s="9" t="inlineStr">
        <is>
          <t>https://sg.linkedin.com/jobs/view/sales-development-representative-singapore-at-hud-4484812090</t>
        </is>
      </c>
      <c r="R4" s="3" t="inlineStr">
        <is>
          <t>To review</t>
        </is>
      </c>
      <c r="S4" s="8" t="inlineStr"/>
    </row>
    <row r="5">
      <c r="A5" s="10" t="inlineStr">
        <is>
          <t>B</t>
        </is>
      </c>
      <c r="B5" s="3" t="inlineStr">
        <is>
          <t>10 of 12</t>
        </is>
      </c>
      <c r="C5" s="4" t="n">
        <v>0.733</v>
      </c>
      <c r="D5" s="3" t="n"/>
      <c r="E5" s="5" t="inlineStr">
        <is>
          <t>SALES DEVELOPMENT EXECUTIVE (Entry-Level | Training Provided)</t>
        </is>
      </c>
      <c r="F5" s="3" t="inlineStr">
        <is>
          <t>AURATALENTSG</t>
        </is>
      </c>
      <c r="G5" s="6" t="n"/>
      <c r="H5" s="6" t="n"/>
      <c r="I5" s="3" t="inlineStr">
        <is>
          <t>not stated</t>
        </is>
      </c>
      <c r="J5" s="3" t="inlineStr">
        <is>
          <t>junior executive</t>
        </is>
      </c>
      <c r="K5" s="3" t="inlineStr">
        <is>
          <t>on-site</t>
        </is>
      </c>
      <c r="L5" s="3" t="inlineStr">
        <is>
          <t>Full time</t>
        </is>
      </c>
      <c r="M5" s="3" t="inlineStr">
        <is>
          <t>JobStreet</t>
        </is>
      </c>
      <c r="N5" s="7" t="n">
        <v>46324</v>
      </c>
      <c r="O5" s="8" t="inlineStr">
        <is>
          <t>Fintech / payments / SME / merchant domain, Base salary can reach SGD 4,000 / month</t>
        </is>
      </c>
      <c r="P5" s="8" t="inlineStr"/>
      <c r="Q5" s="9" t="inlineStr">
        <is>
          <t>https://sg.jobstreet.com/job/95587270</t>
        </is>
      </c>
      <c r="R5" s="3" t="inlineStr">
        <is>
          <t>To review</t>
        </is>
      </c>
      <c r="S5" s="8" t="inlineStr"/>
    </row>
    <row r="6">
      <c r="A6" s="10" t="inlineStr">
        <is>
          <t>B</t>
        </is>
      </c>
      <c r="B6" s="3" t="inlineStr">
        <is>
          <t>10 of 12</t>
        </is>
      </c>
      <c r="C6" s="4" t="n">
        <v>0.667</v>
      </c>
      <c r="D6" s="3" t="n"/>
      <c r="E6" s="5" t="inlineStr">
        <is>
          <t>Business Development Associate</t>
        </is>
      </c>
      <c r="F6" s="3" t="inlineStr">
        <is>
          <t>AVARON PTE. LTD.</t>
        </is>
      </c>
      <c r="G6" s="6" t="n">
        <v>3000</v>
      </c>
      <c r="H6" s="6" t="n">
        <v>4000</v>
      </c>
      <c r="I6" s="3" t="inlineStr">
        <is>
          <t>SGD 3,000-4,000/mo</t>
        </is>
      </c>
      <c r="J6" s="3" t="inlineStr">
        <is>
          <t>fresh</t>
        </is>
      </c>
      <c r="K6" s="3" t="inlineStr"/>
      <c r="L6" s="3" t="inlineStr">
        <is>
          <t>Full Time</t>
        </is>
      </c>
      <c r="M6" s="3" t="inlineStr">
        <is>
          <t>MyCareersFuture</t>
        </is>
      </c>
      <c r="N6" s="7" t="n">
        <v>46325</v>
      </c>
      <c r="O6" s="8" t="inlineStr">
        <is>
          <t>Fintech / payments / SME / merchant domain, Commission / incentives on top of base</t>
        </is>
      </c>
      <c r="P6" s="8" t="inlineStr"/>
      <c r="Q6" s="9" t="inlineStr">
        <is>
          <t>https://www.mycareersfuture.gov.sg/job/events/business-development-associate-avaron-d354227ef3bf6dd53f6880ccae0a7c43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10 of 12</t>
        </is>
      </c>
      <c r="C7" s="4" t="n">
        <v>0.667</v>
      </c>
      <c r="D7" s="3" t="n"/>
      <c r="E7" s="5" t="inlineStr">
        <is>
          <t>Business Development Associate (Career Opportunities)</t>
        </is>
      </c>
      <c r="F7" s="3" t="inlineStr">
        <is>
          <t>SIMPLE RECRUIT</t>
        </is>
      </c>
      <c r="G7" s="6" t="n">
        <v>3200</v>
      </c>
      <c r="H7" s="6" t="n">
        <v>4800</v>
      </c>
      <c r="I7" s="3" t="inlineStr">
        <is>
          <t>SGD 3,200-4,800/mo</t>
        </is>
      </c>
      <c r="J7" s="3" t="inlineStr">
        <is>
          <t>fresh</t>
        </is>
      </c>
      <c r="K7" s="3" t="inlineStr"/>
      <c r="L7" s="3" t="inlineStr">
        <is>
          <t>Full Time</t>
        </is>
      </c>
      <c r="M7" s="3" t="inlineStr">
        <is>
          <t>MyCareersFuture</t>
        </is>
      </c>
      <c r="N7" s="7" t="n">
        <v>46325</v>
      </c>
      <c r="O7" s="8" t="inlineStr">
        <is>
          <t>Fintech / payments / SME / merchant domain, Commission / incentives on top of base</t>
        </is>
      </c>
      <c r="P7" s="8" t="inlineStr"/>
      <c r="Q7" s="9" t="inlineStr">
        <is>
          <t>https://www.mycareersfuture.gov.sg/job/events/business-development-associate-simple-recruit-51f2cf2a268fc8594e99b673336bc5ae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Business Development Associate (Entry)</t>
        </is>
      </c>
      <c r="F8" s="3" t="inlineStr">
        <is>
          <t>AURYN MARKETING</t>
        </is>
      </c>
      <c r="G8" s="6" t="n">
        <v>1800</v>
      </c>
      <c r="H8" s="6" t="n">
        <v>4500</v>
      </c>
      <c r="I8" s="3" t="inlineStr">
        <is>
          <t>SGD 1,800-4,500/mo</t>
        </is>
      </c>
      <c r="J8" s="3" t="inlineStr">
        <is>
          <t>fresh</t>
        </is>
      </c>
      <c r="K8" s="3" t="inlineStr"/>
      <c r="L8" s="3" t="inlineStr">
        <is>
          <t>Full Time</t>
        </is>
      </c>
      <c r="M8" s="3" t="inlineStr">
        <is>
          <t>MyCareersFuture</t>
        </is>
      </c>
      <c r="N8" s="7" t="n">
        <v>46324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https://www.mycareersfuture.gov.sg/job/marketing/business-development-associate-auryn-marketing-db142b9cf34335987b7b9b8e7bba9f5a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10 of 12</t>
        </is>
      </c>
      <c r="C9" s="4" t="n">
        <v>0.667</v>
      </c>
      <c r="D9" s="3" t="n"/>
      <c r="E9" s="5" t="inlineStr">
        <is>
          <t>Sales Development Representative (Mandarin-speaking)</t>
        </is>
      </c>
      <c r="F9" s="3" t="inlineStr">
        <is>
          <t>STRIPE PAYMENTS SINGAPORE PTE. LTD.</t>
        </is>
      </c>
      <c r="G9" s="6" t="n">
        <v>6300</v>
      </c>
      <c r="H9" s="6" t="n">
        <v>7088</v>
      </c>
      <c r="I9" s="3" t="inlineStr">
        <is>
          <t>SGD 6,300-7,088/mo</t>
        </is>
      </c>
      <c r="J9" s="3" t="inlineStr">
        <is>
          <t>executive</t>
        </is>
      </c>
      <c r="K9" s="3" t="inlineStr">
        <is>
          <t>on-site</t>
        </is>
      </c>
      <c r="L9" s="3" t="inlineStr">
        <is>
          <t>Permanent, Full Time</t>
        </is>
      </c>
      <c r="M9" s="3" t="inlineStr">
        <is>
          <t>MyCareersFuture</t>
        </is>
      </c>
      <c r="N9" s="7" t="n">
        <v>46324</v>
      </c>
      <c r="O9" s="8" t="inlineStr">
        <is>
          <t>Fintech / payments / SME / merchant domain, Commission / incentives on top of base</t>
        </is>
      </c>
      <c r="P9" s="8" t="inlineStr"/>
      <c r="Q9" s="9" t="inlineStr">
        <is>
          <t>https://www.mycareersfuture.gov.sg/job/information-technology/sales-development-representative-stripe-payments-singapore-424391961d145297b09fb632c2b73da8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9 of 12</t>
        </is>
      </c>
      <c r="C10" s="4" t="n">
        <v>0.6</v>
      </c>
      <c r="D10" s="3" t="n"/>
      <c r="E10" s="5" t="inlineStr">
        <is>
          <t>Inside Sales Specialist</t>
        </is>
      </c>
      <c r="F10" s="3" t="inlineStr">
        <is>
          <t>Concentrix</t>
        </is>
      </c>
      <c r="G10" s="6" t="n"/>
      <c r="H10" s="6" t="n"/>
      <c r="I10" s="3" t="inlineStr">
        <is>
          <t>not stated</t>
        </is>
      </c>
      <c r="J10" s="3" t="inlineStr">
        <is>
          <t>executive</t>
        </is>
      </c>
      <c r="K10" s="3" t="inlineStr"/>
      <c r="L10" s="3" t="inlineStr">
        <is>
          <t>Full-time</t>
        </is>
      </c>
      <c r="M10" s="3" t="inlineStr">
        <is>
          <t>LinkedIn</t>
        </is>
      </c>
      <c r="N10" s="7" t="n">
        <v>46325</v>
      </c>
      <c r="O10" s="8" t="inlineStr">
        <is>
          <t>Fintech / payments / SME / merchant domain, Base salary can reach SGD 4,000 / month, Commission / incentives on top of base</t>
        </is>
      </c>
      <c r="P10" s="8" t="inlineStr"/>
      <c r="Q10" s="9" t="inlineStr">
        <is>
          <t>https://sg.linkedin.com/jobs/view/inside-sales-specialist-at-concentrix-4422697912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9 of 12</t>
        </is>
      </c>
      <c r="C11" s="4" t="n">
        <v>0.6</v>
      </c>
      <c r="D11" s="3" t="n"/>
      <c r="E11" s="5" t="inlineStr">
        <is>
          <t>Inside Sales Specialist (Net New Sales)</t>
        </is>
      </c>
      <c r="F11" s="3" t="inlineStr">
        <is>
          <t>Concentrix</t>
        </is>
      </c>
      <c r="G11" s="6" t="n"/>
      <c r="H11" s="6" t="n"/>
      <c r="I11" s="3" t="inlineStr">
        <is>
          <t>not stated</t>
        </is>
      </c>
      <c r="J11" s="3" t="inlineStr">
        <is>
          <t>executive</t>
        </is>
      </c>
      <c r="K11" s="3" t="inlineStr"/>
      <c r="L11" s="3" t="inlineStr">
        <is>
          <t>Full-time</t>
        </is>
      </c>
      <c r="M11" s="3" t="inlineStr">
        <is>
          <t>LinkedIn</t>
        </is>
      </c>
      <c r="N11" s="7" t="n">
        <v>46325</v>
      </c>
      <c r="O11" s="8" t="inlineStr">
        <is>
          <t>Fintech / payments / SME / merchant domain, Base salary can reach SGD 4,000 / month, Commission / incentives on top of base</t>
        </is>
      </c>
      <c r="P11" s="8" t="inlineStr"/>
      <c r="Q11" s="9" t="inlineStr">
        <is>
          <t>https://sg.linkedin.com/jobs/view/inside-sales-specialist-net-new-sales-at-concentrix-4422906112</t>
        </is>
      </c>
      <c r="R11" s="3" t="inlineStr">
        <is>
          <t>To review</t>
        </is>
      </c>
      <c r="S11" s="8" t="inlineStr"/>
    </row>
    <row r="12">
      <c r="A12" s="10" t="inlineStr">
        <is>
          <t>B</t>
        </is>
      </c>
      <c r="B12" s="3" t="inlineStr">
        <is>
          <t>9 of 12</t>
        </is>
      </c>
      <c r="C12" s="4" t="n">
        <v>0.6</v>
      </c>
      <c r="D12" s="3" t="n"/>
      <c r="E12" s="5" t="inlineStr">
        <is>
          <t>Business Development Associate</t>
        </is>
      </c>
      <c r="F12" s="3" t="inlineStr">
        <is>
          <t>AURATALENTSG</t>
        </is>
      </c>
      <c r="G12" s="6" t="n"/>
      <c r="H12" s="6" t="n"/>
      <c r="I12" s="3" t="inlineStr">
        <is>
          <t>not stated</t>
        </is>
      </c>
      <c r="J12" s="3" t="inlineStr">
        <is>
          <t>executive</t>
        </is>
      </c>
      <c r="K12" s="3" t="inlineStr">
        <is>
          <t>on-site</t>
        </is>
      </c>
      <c r="L12" s="3" t="inlineStr">
        <is>
          <t>Full time, Part time</t>
        </is>
      </c>
      <c r="M12" s="3" t="inlineStr">
        <is>
          <t>JobStreet</t>
        </is>
      </c>
      <c r="N12" s="7" t="n">
        <v>46324</v>
      </c>
      <c r="O12" s="8" t="inlineStr">
        <is>
          <t>Fintech / payments / SME / merchant domain, Base salary can reach SGD 4,000 / month, Commission / incentives on top of base</t>
        </is>
      </c>
      <c r="P12" s="8" t="inlineStr"/>
      <c r="Q12" s="9" t="inlineStr">
        <is>
          <t>https://sg.jobstreet.com/job/95587560</t>
        </is>
      </c>
      <c r="R12" s="3" t="inlineStr">
        <is>
          <t>To review</t>
        </is>
      </c>
      <c r="S12" s="8" t="inlineStr"/>
    </row>
    <row r="13">
      <c r="A13" s="10" t="inlineStr">
        <is>
          <t>B</t>
        </is>
      </c>
      <c r="B13" s="3" t="inlineStr">
        <is>
          <t>9 of 12</t>
        </is>
      </c>
      <c r="C13" s="4" t="n">
        <v>0.6</v>
      </c>
      <c r="D13" s="3" t="n"/>
      <c r="E13" s="5" t="inlineStr">
        <is>
          <t>Business Development Representative [APJ]</t>
        </is>
      </c>
      <c r="F13" s="3" t="inlineStr">
        <is>
          <t>Noma</t>
        </is>
      </c>
      <c r="G13" s="6" t="n"/>
      <c r="H13" s="6" t="n"/>
      <c r="I13" s="3" t="inlineStr">
        <is>
          <t>not stated</t>
        </is>
      </c>
      <c r="J13" s="3" t="inlineStr">
        <is>
          <t>executive</t>
        </is>
      </c>
      <c r="K13" s="3" t="inlineStr"/>
      <c r="L13" s="3" t="inlineStr">
        <is>
          <t>Full-time</t>
        </is>
      </c>
      <c r="M13" s="3" t="inlineStr">
        <is>
          <t>LinkedIn</t>
        </is>
      </c>
      <c r="N13" s="7" t="n">
        <v>46324</v>
      </c>
      <c r="O13" s="8" t="inlineStr">
        <is>
          <t>Fintech / payments / SME / merchant domain, Base salary can reach SGD 4,000 / month, Commission / incentives on top of base</t>
        </is>
      </c>
      <c r="P13" s="8" t="inlineStr"/>
      <c r="Q13" s="9" t="inlineStr">
        <is>
          <t>https://sg.linkedin.com/jobs/view/business-development-representative-apj-at-noma-4484516371</t>
        </is>
      </c>
      <c r="R13" s="3" t="inlineStr">
        <is>
          <t>To review</t>
        </is>
      </c>
      <c r="S13" s="8" t="inlineStr"/>
    </row>
    <row r="14">
      <c r="A14" s="10" t="inlineStr">
        <is>
          <t>B</t>
        </is>
      </c>
      <c r="B14" s="3" t="inlineStr">
        <is>
          <t>9 of 12</t>
        </is>
      </c>
      <c r="C14" s="4" t="n">
        <v>0.6</v>
      </c>
      <c r="D14" s="3" t="n"/>
      <c r="E14" s="5" t="inlineStr">
        <is>
          <t>Sales Development Representative (SDR)</t>
        </is>
      </c>
      <c r="F14" s="3" t="inlineStr">
        <is>
          <t>UpGuard</t>
        </is>
      </c>
      <c r="G14" s="6" t="n"/>
      <c r="H14" s="6" t="n"/>
      <c r="I14" s="3" t="inlineStr">
        <is>
          <t>not stated</t>
        </is>
      </c>
      <c r="J14" s="3" t="inlineStr">
        <is>
          <t>executive</t>
        </is>
      </c>
      <c r="K14" s="3" t="inlineStr">
        <is>
          <t>remote</t>
        </is>
      </c>
      <c r="L14" s="3" t="inlineStr">
        <is>
          <t>Full-time</t>
        </is>
      </c>
      <c r="M14" s="3" t="inlineStr">
        <is>
          <t>LinkedIn</t>
        </is>
      </c>
      <c r="N14" s="7" t="n">
        <v>46324</v>
      </c>
      <c r="O14" s="8" t="inlineStr">
        <is>
          <t>Fintech / payments / SME / merchant domain, Base salary can reach SGD 4,000 / month, Commission / incentives on top of base</t>
        </is>
      </c>
      <c r="P14" s="8" t="inlineStr"/>
      <c r="Q14" s="9" t="inlineStr">
        <is>
          <t>https://sg.linkedin.com/jobs/view/sales-development-representative-sdr-at-upguard-4483011976</t>
        </is>
      </c>
      <c r="R14" s="3" t="inlineStr">
        <is>
          <t>To review</t>
        </is>
      </c>
      <c r="S14" s="8" t="inlineStr"/>
    </row>
    <row r="15">
      <c r="A15" s="10" t="inlineStr">
        <is>
          <t>B</t>
        </is>
      </c>
      <c r="B15" s="3" t="inlineStr">
        <is>
          <t>9 of 12</t>
        </is>
      </c>
      <c r="C15" s="4" t="n">
        <v>0.6</v>
      </c>
      <c r="D15" s="3" t="n"/>
      <c r="E15" s="5" t="inlineStr">
        <is>
          <t>Sales Development Representative (Taiwan Market)</t>
        </is>
      </c>
      <c r="F15" s="3" t="inlineStr">
        <is>
          <t>Cisco</t>
        </is>
      </c>
      <c r="G15" s="6" t="n"/>
      <c r="H15" s="6" t="n"/>
      <c r="I15" s="3" t="inlineStr">
        <is>
          <t>not stated</t>
        </is>
      </c>
      <c r="J15" s="3" t="inlineStr">
        <is>
          <t>executive</t>
        </is>
      </c>
      <c r="K15" s="3" t="inlineStr"/>
      <c r="L15" s="3" t="inlineStr">
        <is>
          <t>Full-time</t>
        </is>
      </c>
      <c r="M15" s="3" t="inlineStr">
        <is>
          <t>LinkedIn</t>
        </is>
      </c>
      <c r="N15" s="7" t="n">
        <v>46324</v>
      </c>
      <c r="O15" s="8" t="inlineStr">
        <is>
          <t>Fintech / payments / SME / merchant domain, Base salary can reach SGD 4,000 / month, Commission / incentives on top of base</t>
        </is>
      </c>
      <c r="P15" s="8" t="inlineStr"/>
      <c r="Q15" s="9" t="inlineStr">
        <is>
          <t>https://sg.linkedin.com/jobs/view/sales-development-representative-taiwan-market-at-cisco-4404079866</t>
        </is>
      </c>
      <c r="R15" s="3" t="inlineStr">
        <is>
          <t>To review</t>
        </is>
      </c>
      <c r="S15" s="8" t="inlineStr"/>
    </row>
    <row r="16">
      <c r="A16" s="10" t="inlineStr">
        <is>
          <t>B</t>
        </is>
      </c>
      <c r="B16" s="3" t="inlineStr">
        <is>
          <t>9 of 12</t>
        </is>
      </c>
      <c r="C16" s="4" t="n">
        <v>0.6</v>
      </c>
      <c r="D16" s="3" t="n"/>
      <c r="E16" s="5" t="inlineStr">
        <is>
          <t>Sales Development Representative (SDR) – Japan / South Korea / Singapore</t>
        </is>
      </c>
      <c r="F16" s="3" t="inlineStr">
        <is>
          <t>Biorce</t>
        </is>
      </c>
      <c r="G16" s="6" t="n"/>
      <c r="H16" s="6" t="n"/>
      <c r="I16" s="3" t="inlineStr">
        <is>
          <t>not stated</t>
        </is>
      </c>
      <c r="J16" s="3" t="inlineStr">
        <is>
          <t>junior executive</t>
        </is>
      </c>
      <c r="K16" s="3" t="inlineStr"/>
      <c r="L16" s="3" t="inlineStr">
        <is>
          <t>Full-time</t>
        </is>
      </c>
      <c r="M16" s="3" t="inlineStr">
        <is>
          <t>LinkedIn</t>
        </is>
      </c>
      <c r="N16" s="7" t="n">
        <v>46323</v>
      </c>
      <c r="O16" s="8" t="inlineStr">
        <is>
          <t>Fintech / payments / SME / merchant domain, Base salary can reach SGD 4,000 / month, Commission / incentives on top of base</t>
        </is>
      </c>
      <c r="P16" s="8" t="inlineStr"/>
      <c r="Q16" s="9" t="inlineStr">
        <is>
          <t>https://sg.linkedin.com/jobs/view/sales-development-representative-sdr-%E2%80%93-japan-south-korea-singapore-at-biorce-4482524471</t>
        </is>
      </c>
      <c r="R16" s="3" t="inlineStr">
        <is>
          <t>To review</t>
        </is>
      </c>
      <c r="S16" s="8" t="inlineStr"/>
    </row>
    <row r="17">
      <c r="A17" s="10" t="inlineStr">
        <is>
          <t>B</t>
        </is>
      </c>
      <c r="B17" s="3" t="inlineStr">
        <is>
          <t>9 of 12</t>
        </is>
      </c>
      <c r="C17" s="4" t="n">
        <v>0.6</v>
      </c>
      <c r="D17" s="3" t="n"/>
      <c r="E17" s="5" t="inlineStr">
        <is>
          <t>Senior Business Development Representative</t>
        </is>
      </c>
      <c r="F17" s="3" t="inlineStr">
        <is>
          <t>PLAYBOOK</t>
        </is>
      </c>
      <c r="G17" s="6" t="n"/>
      <c r="H17" s="6" t="n"/>
      <c r="I17" s="3" t="inlineStr">
        <is>
          <t>not stated</t>
        </is>
      </c>
      <c r="J17" s="3" t="inlineStr">
        <is>
          <t>executive</t>
        </is>
      </c>
      <c r="K17" s="3" t="inlineStr"/>
      <c r="L17" s="3" t="inlineStr">
        <is>
          <t>Full-time</t>
        </is>
      </c>
      <c r="M17" s="3" t="inlineStr">
        <is>
          <t>LinkedIn</t>
        </is>
      </c>
      <c r="N17" s="7" t="n">
        <v>46321</v>
      </c>
      <c r="O17" s="8" t="inlineStr">
        <is>
          <t>Fintech / payments / SME / merchant domain, Base salary can reach SGD 4,000 / month, Commission / incentives on top of base</t>
        </is>
      </c>
      <c r="P17" s="8" t="inlineStr"/>
      <c r="Q17" s="9" t="inlineStr">
        <is>
          <t>https://sg.linkedin.com/jobs/view/senior-business-development-representative-at-playbook-4483519350</t>
        </is>
      </c>
      <c r="R17" s="3" t="inlineStr">
        <is>
          <t>To review</t>
        </is>
      </c>
      <c r="S17" s="8" t="inlineStr"/>
    </row>
  </sheetData>
  <autoFilter ref="A1:S17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  <hyperlink xmlns:r="http://schemas.openxmlformats.org/officeDocument/2006/relationships" ref="E15" r:id="rId27"/>
    <hyperlink xmlns:r="http://schemas.openxmlformats.org/officeDocument/2006/relationships" ref="Q15" r:id="rId28"/>
    <hyperlink xmlns:r="http://schemas.openxmlformats.org/officeDocument/2006/relationships" ref="E16" r:id="rId29"/>
    <hyperlink xmlns:r="http://schemas.openxmlformats.org/officeDocument/2006/relationships" ref="Q16" r:id="rId30"/>
    <hyperlink xmlns:r="http://schemas.openxmlformats.org/officeDocument/2006/relationships" ref="E17" r:id="rId31"/>
    <hyperlink xmlns:r="http://schemas.openxmlformats.org/officeDocument/2006/relationships" ref="Q17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1" t="inlineStr">
        <is>
          <t>Job Digest – Fri 30 Oct 2026 (SGT)</t>
        </is>
      </c>
    </row>
    <row r="3">
      <c r="A3" s="12" t="inlineStr">
        <is>
          <t>Tier</t>
        </is>
      </c>
      <c r="B3" s="12" t="inlineStr">
        <is>
          <t>Postings</t>
        </is>
      </c>
      <c r="C3" s="12" t="inlineStr">
        <is>
          <t>Rule</t>
        </is>
      </c>
    </row>
    <row r="4">
      <c r="A4" s="13" t="inlineStr">
        <is>
          <t>A – strong match</t>
        </is>
      </c>
      <c r="B4" s="14">
        <f>COUNTIF(Matches!$A$2:$A$17,"A")</f>
        <v/>
      </c>
      <c r="C4" s="14" t="inlineStr">
        <is>
          <t>Score ≥ 80%</t>
        </is>
      </c>
    </row>
    <row r="5">
      <c r="A5" s="15" t="inlineStr">
        <is>
          <t>B – good match</t>
        </is>
      </c>
      <c r="B5" s="14">
        <f>COUNTIF(Matches!$A$2:$A$17,"B")</f>
        <v/>
      </c>
      <c r="C5" s="14" t="inlineStr">
        <is>
          <t>Score ≥ 60%</t>
        </is>
      </c>
    </row>
    <row r="6">
      <c r="A6" s="16" t="inlineStr">
        <is>
          <t>C – partial match</t>
        </is>
      </c>
      <c r="B6" s="14">
        <f>COUNTIF(Matches!$A$2:$A$17,"C")</f>
        <v/>
      </c>
      <c r="C6" s="14" t="inlineStr">
        <is>
          <t>Score ≥ 40%</t>
        </is>
      </c>
    </row>
    <row r="7">
      <c r="A7" s="12" t="inlineStr">
        <is>
          <t>Total new matches</t>
        </is>
      </c>
      <c r="B7" s="12">
        <f>SUM(B4:B6)</f>
        <v/>
      </c>
      <c r="C7" s="12" t="inlineStr">
        <is>
          <t>Sum of the tiers above</t>
        </is>
      </c>
    </row>
    <row r="9">
      <c r="A9" s="12" t="inlineStr">
        <is>
          <t>Application tracking</t>
        </is>
      </c>
    </row>
    <row r="10">
      <c r="A10" s="14" t="inlineStr">
        <is>
          <t>Applied</t>
        </is>
      </c>
      <c r="B10" s="14">
        <f>COUNTIF(Matches!$R$2:$R$17,"Applied")</f>
        <v/>
      </c>
    </row>
    <row r="11">
      <c r="A11" s="14" t="inlineStr">
        <is>
          <t>Still to review</t>
        </is>
      </c>
      <c r="B11" s="14">
        <f>COUNTIF(Matches!$R$2:$R$17,"To review")</f>
        <v/>
      </c>
    </row>
    <row r="13">
      <c r="A13" s="12" t="inlineStr">
        <is>
          <t>This run (as reported by the search)</t>
        </is>
      </c>
    </row>
    <row r="14">
      <c r="A14" s="14" t="inlineStr">
        <is>
          <t>Postings fetched</t>
        </is>
      </c>
      <c r="B14" s="14" t="n">
        <v>843</v>
      </c>
      <c r="C14" s="14" t="inlineStr">
        <is>
          <t>MyCareersFuture 398, JobStreet 305, LinkedIn 140</t>
        </is>
      </c>
    </row>
    <row r="15">
      <c r="A15" s="14" t="inlineStr">
        <is>
          <t>Duplicates across boards</t>
        </is>
      </c>
      <c r="B15" s="14" t="n">
        <v>368</v>
      </c>
      <c r="C15" s="14" t="inlineStr"/>
    </row>
    <row r="16">
      <c r="A16" s="14" t="inlineStr">
        <is>
          <t>Excluded by must-have rules</t>
        </is>
      </c>
      <c r="B16" s="14" t="n">
        <v>394</v>
      </c>
      <c r="C16" s="14" t="inlineStr">
        <is>
          <t>Wrong title, accounting role, excluded term, location or company</t>
        </is>
      </c>
    </row>
    <row r="17">
      <c r="A17" s="14" t="inlineStr">
        <is>
          <t>Already sent in earlier digests</t>
        </is>
      </c>
      <c r="B17" s="14" t="n">
        <v>65</v>
      </c>
      <c r="C17" s="14" t="inlineStr">
        <is>
          <t>Not repeated</t>
        </is>
      </c>
    </row>
    <row r="19">
      <c r="A19" s="12" t="inlineStr">
        <is>
          <t>How to read the Matches sheet</t>
        </is>
      </c>
    </row>
    <row r="20" ht="30" customHeight="1">
      <c r="A20" s="17" t="inlineStr">
        <is>
          <t>Requirements met counts every requirement equally. Score % is weighted, so the industry requirement (weight 3) counts three times.</t>
        </is>
      </c>
    </row>
    <row r="21" ht="30" customHeight="1">
      <c r="A21" s="17" t="inlineStr">
        <is>
          <t>Salary columns are converted to SGD per month. Blank means the posting does not state a salary.</t>
        </is>
      </c>
    </row>
    <row r="22" ht="30" customHeight="1">
      <c r="A22" s="17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2026-10-30T05:21:20Z</dcterms:created>
  <dcterms:modified xsi:type="dcterms:W3CDTF">2026-10-30T05:21:20Z</dcterms:modified>
</cp:coreProperties>
</file>